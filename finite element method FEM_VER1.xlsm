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C:\Users\PL10594\Documents\Tools\oblicz\"/>
    </mc:Choice>
  </mc:AlternateContent>
  <xr:revisionPtr revIDLastSave="0" documentId="8_{3CC2FA60-1A0D-4C3E-B756-83E27B648093}" xr6:coauthVersionLast="47" xr6:coauthVersionMax="47" xr10:uidLastSave="{00000000-0000-0000-0000-000000000000}"/>
  <bookViews>
    <workbookView xWindow="-120" yWindow="-120" windowWidth="29040" windowHeight="17520" xr2:uid="{BCB6E8C1-270A-48FB-825A-B5E8C0084291}"/>
  </bookViews>
  <sheets>
    <sheet name="Nodes" sheetId="1" r:id="rId1"/>
    <sheet name="Members" sheetId="2" r:id="rId2"/>
    <sheet name="Sections" sheetId="20" r:id="rId3"/>
    <sheet name="Supports" sheetId="4" r:id="rId4"/>
    <sheet name="Load  members" sheetId="5" r:id="rId5"/>
    <sheet name="Load nodes" sheetId="6" r:id="rId6"/>
    <sheet name="Internal forces" sheetId="21" r:id="rId7"/>
    <sheet name="element_integration_constants" sheetId="28" r:id="rId8"/>
    <sheet name="Members geometry" sheetId="8" r:id="rId9"/>
    <sheet name="normal force" sheetId="13" r:id="rId10"/>
    <sheet name="matrix_Ks_elem_loc" sheetId="9" r:id="rId11"/>
    <sheet name="matrix_Ks_elem_glob" sheetId="12" r:id="rId12"/>
    <sheet name="matrix_Ks" sheetId="10" r:id="rId13"/>
    <sheet name="matrix_Ks_inv" sheetId="16" r:id="rId14"/>
    <sheet name="vector_f_elem" sheetId="14" r:id="rId15"/>
    <sheet name="vector_f" sheetId="15" r:id="rId16"/>
    <sheet name="vector_boundary_cond" sheetId="11" r:id="rId17"/>
    <sheet name="vector_q" sheetId="17" r:id="rId18"/>
    <sheet name="vector_q_elem" sheetId="18" r:id="rId19"/>
    <sheet name="vector_q_loc" sheetId="22" r:id="rId20"/>
    <sheet name="Ks_elem x q_elem" sheetId="19" r:id="rId21"/>
    <sheet name="Ks_elem x q_elem - f_elem" sheetId="23" r:id="rId22"/>
  </sheets>
  <functionGroups builtInGroupCount="19"/>
  <definedNames>
    <definedName name="_xleta.ABS" hidden="1" xlm="1">#NAME?</definedName>
    <definedName name="_xleta.COS" hidden="1" xlm="1">#NAME?</definedName>
    <definedName name="_xleta.COSH" hidden="1" xlm="1">#NAME?</definedName>
    <definedName name="_xleta.IF" hidden="1" xlm="1">#NAME?</definedName>
    <definedName name="_xleta.N" hidden="1" xlm="1">#NAME?</definedName>
    <definedName name="_xleta.OR" hidden="1" xlm="1">#NAME?</definedName>
    <definedName name="_xleta.SIN" hidden="1" xlm="1">#NAME?</definedName>
    <definedName name="_xleta.SINH" hidden="1" xlm="1">#NAME?</definedName>
    <definedName name="A">matrix_Ks_elem_loc!$B$8</definedName>
    <definedName name="alpha">matrix_Ks_elem_loc!$B$15</definedName>
    <definedName name="beta">matrix_Ks_elem_loc!$B$16</definedName>
    <definedName name="c_a">element_integration_constants!$B$13</definedName>
    <definedName name="c_b">element_integration_constants!$B$14</definedName>
    <definedName name="c_c">element_integration_constants!$B$15</definedName>
    <definedName name="c_d">element_integration_constants!$B$16</definedName>
    <definedName name="cdelta">matrix_Ks_elem_loc!$B$14</definedName>
    <definedName name="cdelta_SSminus">matrix_Ks_elem_loc!$C$14</definedName>
    <definedName name="cdelta_SSplus">matrix_Ks_elem_loc!$D$14</definedName>
    <definedName name="cosinus">matrix_Ks_elem_glob!$B$4</definedName>
    <definedName name="cosinush">matrix_Ks_elem_loc!$B$6</definedName>
    <definedName name="delta">matrix_Ks_elem_loc!$B$18</definedName>
    <definedName name="E">matrix_Ks_elem_loc!$B$10</definedName>
    <definedName name="f_e_1">vector_f_elem!$B$19</definedName>
    <definedName name="f_e_2">vector_f_elem!$B$20</definedName>
    <definedName name="f_e_3">vector_f_elem!$B$21</definedName>
    <definedName name="f_e_4">vector_f_elem!$B$22</definedName>
    <definedName name="f_e_5">vector_f_elem!$B$23</definedName>
    <definedName name="f_e_6">vector_f_elem!$B$24</definedName>
    <definedName name="f_l_1">vector_f_elem!$B$27</definedName>
    <definedName name="f_l_2">vector_f_elem!$B$28</definedName>
    <definedName name="f_l_3">vector_f_elem!$B$29</definedName>
    <definedName name="f_l_4">vector_f_elem!$B$30</definedName>
    <definedName name="f_l_5">vector_f_elem!$B$31</definedName>
    <definedName name="f_l_6">vector_f_elem!$B$32</definedName>
    <definedName name="fi">element_integration_constants!$B$4</definedName>
    <definedName name="fj">element_integration_constants!$B$6</definedName>
    <definedName name="fres_1" localSheetId="6">'Internal forces'!$F$3</definedName>
    <definedName name="fres_1">'Ks_elem x q_elem'!$F$3</definedName>
    <definedName name="fres_2" localSheetId="6">'Internal forces'!$F$4</definedName>
    <definedName name="fres_2">'Ks_elem x q_elem'!$F$4</definedName>
    <definedName name="fres_3" localSheetId="6">'Internal forces'!$F$5</definedName>
    <definedName name="fres_3">'Ks_elem x q_elem'!$F$5</definedName>
    <definedName name="fres_4" localSheetId="6">'Internal forces'!$F$6</definedName>
    <definedName name="fres_4">'Ks_elem x q_elem'!$F$6</definedName>
    <definedName name="fres_5" localSheetId="6">'Internal forces'!$F$7</definedName>
    <definedName name="fres_5">'Ks_elem x q_elem'!$F$7</definedName>
    <definedName name="fres_6" localSheetId="6">'Internal forces'!$F$8</definedName>
    <definedName name="fres_6">'Ks_elem x q_elem'!$F$8</definedName>
    <definedName name="gamma_PS">vector_f_elem!$E$18</definedName>
    <definedName name="gamma_SP">vector_f_elem!$D$18</definedName>
    <definedName name="gamma_SS">vector_f_elem!$C$18</definedName>
    <definedName name="Jz">matrix_Ks_elem_loc!$B$9</definedName>
    <definedName name="kp_1_1" localSheetId="11">matrix_Ks_elem_glob!$H$12</definedName>
    <definedName name="kp_1_2" localSheetId="11">matrix_Ks_elem_glob!$I$12</definedName>
    <definedName name="kp_1_3" localSheetId="11">matrix_Ks_elem_glob!$J$12</definedName>
    <definedName name="kp_1_4" localSheetId="11">matrix_Ks_elem_glob!$K$12</definedName>
    <definedName name="kp_1_5" localSheetId="11">matrix_Ks_elem_glob!$L$12</definedName>
    <definedName name="kp_1_6" localSheetId="11">matrix_Ks_elem_glob!$M$12</definedName>
    <definedName name="kp_2_1" localSheetId="11">matrix_Ks_elem_glob!$H$13</definedName>
    <definedName name="kp_2_2" localSheetId="11">matrix_Ks_elem_glob!$I$13</definedName>
    <definedName name="kp_2_3" localSheetId="11">matrix_Ks_elem_glob!$J$13</definedName>
    <definedName name="kp_2_4" localSheetId="11">matrix_Ks_elem_glob!$K$13</definedName>
    <definedName name="kp_2_5" localSheetId="11">matrix_Ks_elem_glob!$L$13</definedName>
    <definedName name="kp_2_6" localSheetId="11">matrix_Ks_elem_glob!$M$13</definedName>
    <definedName name="kp_3_1" localSheetId="11">matrix_Ks_elem_glob!$H$14</definedName>
    <definedName name="kp_3_2" localSheetId="11">matrix_Ks_elem_glob!$I$14</definedName>
    <definedName name="kp_3_3" localSheetId="11">matrix_Ks_elem_glob!$J$14</definedName>
    <definedName name="kp_3_4" localSheetId="11">matrix_Ks_elem_glob!$K$14</definedName>
    <definedName name="kp_3_5" localSheetId="11">matrix_Ks_elem_glob!$L$14</definedName>
    <definedName name="kp_3_6" localSheetId="11">matrix_Ks_elem_glob!$M$14</definedName>
    <definedName name="kp_4_1" localSheetId="11">matrix_Ks_elem_glob!$H$15</definedName>
    <definedName name="kp_4_2" localSheetId="11">matrix_Ks_elem_glob!$I$15</definedName>
    <definedName name="kp_4_3" localSheetId="11">matrix_Ks_elem_glob!$J$15</definedName>
    <definedName name="kp_4_4" localSheetId="11">matrix_Ks_elem_glob!$K$15</definedName>
    <definedName name="kp_4_5" localSheetId="11">matrix_Ks_elem_glob!$L$15</definedName>
    <definedName name="kp_4_6" localSheetId="11">matrix_Ks_elem_glob!$M$15</definedName>
    <definedName name="kp_5_1" localSheetId="11">matrix_Ks_elem_glob!$H$16</definedName>
    <definedName name="kp_5_2" localSheetId="11">matrix_Ks_elem_glob!$I$16</definedName>
    <definedName name="kp_5_3" localSheetId="11">matrix_Ks_elem_glob!$J$16</definedName>
    <definedName name="kp_5_4" localSheetId="11">matrix_Ks_elem_glob!$K$16</definedName>
    <definedName name="kp_5_5" localSheetId="11">matrix_Ks_elem_glob!$L$16</definedName>
    <definedName name="kp_5_6" localSheetId="11">matrix_Ks_elem_glob!$M$16</definedName>
    <definedName name="kp_6_1" localSheetId="11">matrix_Ks_elem_glob!$H$17</definedName>
    <definedName name="kp_6_2" localSheetId="11">matrix_Ks_elem_glob!$I$17</definedName>
    <definedName name="kp_6_3" localSheetId="11">matrix_Ks_elem_glob!$J$17</definedName>
    <definedName name="kp_6_4" localSheetId="11">matrix_Ks_elem_glob!$K$17</definedName>
    <definedName name="kp_6_5" localSheetId="11">matrix_Ks_elem_glob!$L$17</definedName>
    <definedName name="kp_6_6" localSheetId="11">matrix_Ks_elem_glob!$M$17</definedName>
    <definedName name="L">matrix_Ks_elem_loc!$B$7</definedName>
    <definedName name="p_1_1" localSheetId="11">matrix_Ks_elem_glob!$A$12</definedName>
    <definedName name="p_1_2" localSheetId="11">matrix_Ks_elem_glob!$B$12</definedName>
    <definedName name="p_1_3" localSheetId="11">matrix_Ks_elem_glob!$C$12</definedName>
    <definedName name="p_1_4" localSheetId="11">matrix_Ks_elem_glob!$D$12</definedName>
    <definedName name="p_1_5" localSheetId="11">matrix_Ks_elem_glob!$E$12</definedName>
    <definedName name="p_1_6" localSheetId="11">matrix_Ks_elem_glob!$F$12</definedName>
    <definedName name="p_2_1" localSheetId="11">matrix_Ks_elem_glob!$A$13</definedName>
    <definedName name="p_2_2" localSheetId="11">matrix_Ks_elem_glob!$B$13</definedName>
    <definedName name="p_2_3" localSheetId="11">matrix_Ks_elem_glob!$C$13</definedName>
    <definedName name="p_2_4" localSheetId="11">matrix_Ks_elem_glob!$D$13</definedName>
    <definedName name="p_2_5" localSheetId="11">matrix_Ks_elem_glob!$E$13</definedName>
    <definedName name="p_2_6" localSheetId="11">matrix_Ks_elem_glob!$F$13</definedName>
    <definedName name="p_3_1" localSheetId="11">matrix_Ks_elem_glob!$A$14</definedName>
    <definedName name="p_3_2" localSheetId="11">matrix_Ks_elem_glob!$B$14</definedName>
    <definedName name="p_3_3" localSheetId="11">matrix_Ks_elem_glob!$C$14</definedName>
    <definedName name="p_3_4" localSheetId="11">matrix_Ks_elem_glob!$D$14</definedName>
    <definedName name="p_3_5" localSheetId="11">matrix_Ks_elem_glob!$E$14</definedName>
    <definedName name="p_3_6" localSheetId="11">matrix_Ks_elem_glob!$F$14</definedName>
    <definedName name="p_4_1" localSheetId="11">matrix_Ks_elem_glob!$A$15</definedName>
    <definedName name="p_4_2" localSheetId="11">matrix_Ks_elem_glob!$B$15</definedName>
    <definedName name="p_4_3" localSheetId="11">matrix_Ks_elem_glob!$C$15</definedName>
    <definedName name="p_4_4" localSheetId="11">matrix_Ks_elem_glob!$D$15</definedName>
    <definedName name="p_4_5" localSheetId="11">matrix_Ks_elem_glob!$E$15</definedName>
    <definedName name="p_4_6" localSheetId="11">matrix_Ks_elem_glob!$F$15</definedName>
    <definedName name="p_5_1" localSheetId="11">matrix_Ks_elem_glob!$A$16</definedName>
    <definedName name="p_5_2" localSheetId="11">matrix_Ks_elem_glob!$B$16</definedName>
    <definedName name="p_5_3" localSheetId="11">matrix_Ks_elem_glob!$C$16</definedName>
    <definedName name="p_5_4" localSheetId="11">matrix_Ks_elem_glob!$D$16</definedName>
    <definedName name="p_5_5" localSheetId="11">matrix_Ks_elem_glob!$E$16</definedName>
    <definedName name="p_5_6" localSheetId="11">matrix_Ks_elem_glob!$F$16</definedName>
    <definedName name="p_6_1" localSheetId="11">matrix_Ks_elem_glob!$A$17</definedName>
    <definedName name="p_6_2" localSheetId="11">matrix_Ks_elem_glob!$B$17</definedName>
    <definedName name="p_6_3" localSheetId="11">matrix_Ks_elem_glob!$C$17</definedName>
    <definedName name="p_6_4" localSheetId="11">matrix_Ks_elem_glob!$D$17</definedName>
    <definedName name="p_6_5" localSheetId="11">matrix_Ks_elem_glob!$E$17</definedName>
    <definedName name="p_6_6" localSheetId="11">matrix_Ks_elem_glob!$F$17</definedName>
    <definedName name="p1_">matrix_Ks_elem_loc!$B$20</definedName>
    <definedName name="p2_">matrix_Ks_elem_loc!$B$21</definedName>
    <definedName name="p3_">matrix_Ks_elem_loc!$B$22</definedName>
    <definedName name="qy">vector_f_elem!$B$13</definedName>
    <definedName name="si">matrix_Ks_elem_loc!$B$2</definedName>
    <definedName name="silan">matrix_Ks_elem_loc!$B$3</definedName>
    <definedName name="sinus">matrix_Ks_elem_glob!$B$3</definedName>
    <definedName name="sinush">matrix_Ks_elem_loc!$B$5</definedName>
    <definedName name="upsilon">matrix_Ks_elem_loc!$B$17</definedName>
    <definedName name="v_1">element_integration_constants!#REF!</definedName>
    <definedName name="v_2">element_integration_constants!#REF!</definedName>
    <definedName name="v_3">element_integration_constants!#REF!</definedName>
    <definedName name="v_4">element_integration_constants!#REF!</definedName>
    <definedName name="v_5">element_integration_constants!#REF!</definedName>
    <definedName name="v_6">element_integration_constants!#REF!</definedName>
    <definedName name="v_7">element_integration_constants!#REF!</definedName>
    <definedName name="v_8">element_integration_constants!#REF!</definedName>
    <definedName name="v_9">element_integration_constants!#REF!</definedName>
    <definedName name="wi">element_integration_constants!$B$5</definedName>
    <definedName name="wj">element_integration_constants!$B$7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3" l="1"/>
  <c r="D3" i="4"/>
  <c r="B1" i="28"/>
  <c r="E19" i="28" s="1" a="1"/>
  <c r="E19" i="28" s="1"/>
  <c r="G19" i="28" s="1"/>
  <c r="B6" i="12" a="1"/>
  <c r="B6" i="12" s="1"/>
  <c r="B5" i="12" a="1"/>
  <c r="B5" i="12" s="1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C3" i="4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C3" i="2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C3" i="1"/>
  <c r="D3" i="1" s="1"/>
  <c r="B1" i="14"/>
  <c r="B6" i="28" a="1"/>
  <c r="B7" i="28" a="1"/>
  <c r="B4" i="28" a="1"/>
  <c r="B5" i="28" a="1"/>
  <c r="B1" i="4" l="1"/>
  <c r="E29" i="28" a="1"/>
  <c r="E29" i="28" s="1"/>
  <c r="G29" i="28" s="1"/>
  <c r="B5" i="28"/>
  <c r="G13" i="28" s="1"/>
  <c r="B7" i="28"/>
  <c r="B6" i="28"/>
  <c r="B4" i="28"/>
  <c r="G14" i="28" s="1"/>
  <c r="D3" i="2"/>
  <c r="B1" i="2" s="1"/>
  <c r="B1" i="1"/>
  <c r="B4" i="13"/>
  <c r="C14" i="28" l="1"/>
  <c r="C13" i="28"/>
  <c r="E13" i="28"/>
  <c r="F13" i="28"/>
  <c r="D14" i="28"/>
  <c r="D13" i="28"/>
  <c r="B13" i="14" a="1"/>
  <c r="B13" i="14" s="1"/>
  <c r="B9" i="14" a="1"/>
  <c r="B9" i="14" s="1"/>
  <c r="B10" i="14" a="1"/>
  <c r="B10" i="14" s="1"/>
  <c r="B1" i="9"/>
  <c r="B8" i="12"/>
  <c r="B7" i="12"/>
  <c r="B1" i="13"/>
  <c r="A1" i="13"/>
  <c r="A19" i="8"/>
  <c r="A15" i="8"/>
  <c r="B1" i="8"/>
  <c r="R1" i="5"/>
  <c r="S1" i="5"/>
  <c r="T1" i="5"/>
  <c r="U1" i="5"/>
  <c r="V1" i="5"/>
  <c r="B1" i="5"/>
  <c r="A1" i="8"/>
  <c r="X3" i="4"/>
  <c r="Y3" i="4"/>
  <c r="Z3" i="4"/>
  <c r="A1" i="6"/>
  <c r="P1" i="6"/>
  <c r="Q1" i="6"/>
  <c r="R1" i="6"/>
  <c r="S1" i="6"/>
  <c r="T1" i="6"/>
  <c r="U1" i="6"/>
  <c r="V1" i="6"/>
  <c r="B1" i="6"/>
  <c r="A1" i="5"/>
  <c r="B3" i="28" l="1"/>
  <c r="B9" i="8"/>
  <c r="B10" i="13" s="1"/>
  <c r="B8" i="8"/>
  <c r="B9" i="13" s="1"/>
  <c r="B7" i="8"/>
  <c r="B13" i="8"/>
  <c r="B3" i="8" s="1" a="1"/>
  <c r="B3" i="8" s="1"/>
  <c r="B17" i="8"/>
  <c r="B5" i="8" s="1" a="1"/>
  <c r="B5" i="8" s="1"/>
  <c r="B15" i="8"/>
  <c r="B16" i="8" s="1"/>
  <c r="B19" i="8"/>
  <c r="B20" i="8" s="1"/>
  <c r="C1" i="6"/>
  <c r="B2" i="8" l="1" a="1"/>
  <c r="B2" i="8" s="1"/>
  <c r="B4" i="8" a="1"/>
  <c r="B4" i="8" s="1"/>
  <c r="D1" i="6"/>
  <c r="B6" i="8" l="1"/>
  <c r="B8" i="13" s="1"/>
  <c r="B2" i="13" s="1"/>
  <c r="E1" i="6"/>
  <c r="B11" i="8" l="1"/>
  <c r="B10" i="8"/>
  <c r="B22" i="8"/>
  <c r="B5" i="13"/>
  <c r="B6" i="13"/>
  <c r="F1" i="6"/>
  <c r="G1" i="6" l="1"/>
  <c r="H1" i="6" l="1"/>
  <c r="I1" i="6" l="1"/>
  <c r="J1" i="6" l="1"/>
  <c r="K1" i="6" l="1"/>
  <c r="L1" i="6" l="1"/>
  <c r="M1" i="6" l="1"/>
  <c r="N1" i="6" l="1"/>
  <c r="Q1" i="5"/>
  <c r="P1" i="5"/>
  <c r="O1" i="6" l="1"/>
  <c r="D1" i="8" l="1"/>
  <c r="D1" i="13"/>
  <c r="D1" i="5"/>
  <c r="C1" i="8"/>
  <c r="C1" i="5"/>
  <c r="C1" i="13"/>
  <c r="C3" i="13" l="1"/>
  <c r="D3" i="13"/>
  <c r="D4" i="13" s="1"/>
  <c r="C15" i="8"/>
  <c r="C16" i="8" s="1"/>
  <c r="C19" i="8"/>
  <c r="C20" i="8" s="1"/>
  <c r="C17" i="8"/>
  <c r="C5" i="8" s="1" a="1"/>
  <c r="C5" i="8" s="1"/>
  <c r="C9" i="8"/>
  <c r="C8" i="8"/>
  <c r="C7" i="8"/>
  <c r="B8" i="9" s="1" a="1"/>
  <c r="B8" i="9" s="1"/>
  <c r="C13" i="8"/>
  <c r="C2" i="8" s="1" a="1"/>
  <c r="C2" i="8" s="1"/>
  <c r="E1" i="13"/>
  <c r="E1" i="8"/>
  <c r="E1" i="5"/>
  <c r="D8" i="8"/>
  <c r="D9" i="13" s="1"/>
  <c r="D9" i="8"/>
  <c r="D10" i="13" s="1"/>
  <c r="D7" i="8"/>
  <c r="D17" i="8"/>
  <c r="D5" i="8" s="1" a="1"/>
  <c r="D5" i="8" s="1"/>
  <c r="D15" i="8"/>
  <c r="D16" i="8" s="1"/>
  <c r="D19" i="8"/>
  <c r="D20" i="8" s="1"/>
  <c r="D13" i="8"/>
  <c r="D2" i="8" s="1" a="1"/>
  <c r="D2" i="8" s="1"/>
  <c r="D4" i="8" a="1"/>
  <c r="D4" i="8" s="1"/>
  <c r="E3" i="13" l="1"/>
  <c r="E4" i="13" s="1"/>
  <c r="C4" i="8" a="1"/>
  <c r="C4" i="8" s="1"/>
  <c r="D2" i="13"/>
  <c r="D6" i="13" s="1"/>
  <c r="C4" i="13"/>
  <c r="B3" i="9" a="1"/>
  <c r="B3" i="9" s="1"/>
  <c r="C2" i="13"/>
  <c r="D3" i="8" a="1"/>
  <c r="D3" i="8" s="1"/>
  <c r="D6" i="8" s="1"/>
  <c r="D10" i="8" s="1"/>
  <c r="C3" i="8" a="1"/>
  <c r="C3" i="8" s="1"/>
  <c r="E19" i="8"/>
  <c r="E20" i="8" s="1"/>
  <c r="E13" i="8"/>
  <c r="E2" i="8" s="1" a="1"/>
  <c r="E2" i="8" s="1"/>
  <c r="E17" i="8"/>
  <c r="E4" i="8" s="1" a="1"/>
  <c r="E4" i="8" s="1"/>
  <c r="E8" i="8"/>
  <c r="E9" i="13" s="1"/>
  <c r="E9" i="8"/>
  <c r="E10" i="13" s="1"/>
  <c r="E5" i="8" a="1"/>
  <c r="E5" i="8" s="1"/>
  <c r="E7" i="8"/>
  <c r="E15" i="8"/>
  <c r="E16" i="8" s="1"/>
  <c r="B10" i="9" a="1"/>
  <c r="B10" i="9" s="1"/>
  <c r="C10" i="13"/>
  <c r="B9" i="9" a="1"/>
  <c r="B9" i="9" s="1"/>
  <c r="C9" i="13"/>
  <c r="F1" i="8"/>
  <c r="F1" i="13"/>
  <c r="F1" i="5"/>
  <c r="E3" i="8" l="1" a="1"/>
  <c r="E3" i="8" s="1"/>
  <c r="E2" i="13"/>
  <c r="C6" i="8"/>
  <c r="C11" i="8" s="1"/>
  <c r="B2" i="9" a="1"/>
  <c r="B2" i="9" s="1"/>
  <c r="B3" i="14" s="1"/>
  <c r="E6" i="13"/>
  <c r="E6" i="8"/>
  <c r="E11" i="8" s="1"/>
  <c r="E5" i="13"/>
  <c r="D5" i="13"/>
  <c r="F2" i="13"/>
  <c r="F3" i="13"/>
  <c r="F4" i="13" s="1"/>
  <c r="B12" i="14" a="1"/>
  <c r="B12" i="14" s="1"/>
  <c r="B4" i="9" a="1"/>
  <c r="B4" i="9" s="1"/>
  <c r="C6" i="13"/>
  <c r="B6" i="9" s="1" a="1"/>
  <c r="B6" i="9" s="1"/>
  <c r="C5" i="13"/>
  <c r="B5" i="9" s="1" a="1"/>
  <c r="B5" i="9" s="1"/>
  <c r="D22" i="8"/>
  <c r="D11" i="8"/>
  <c r="B4" i="12" s="1" a="1"/>
  <c r="B4" i="12" s="1"/>
  <c r="B8" i="14" s="1"/>
  <c r="D8" i="13"/>
  <c r="G1" i="13"/>
  <c r="G1" i="8"/>
  <c r="G1" i="5"/>
  <c r="E22" i="8"/>
  <c r="F11" i="8"/>
  <c r="F10" i="8"/>
  <c r="F6" i="8"/>
  <c r="F19" i="8"/>
  <c r="F20" i="8" s="1"/>
  <c r="F15" i="8"/>
  <c r="F16" i="8" s="1"/>
  <c r="F13" i="8"/>
  <c r="F17" i="8"/>
  <c r="F4" i="8" a="1"/>
  <c r="F4" i="8" s="1"/>
  <c r="F3" i="8" a="1"/>
  <c r="F3" i="8" s="1"/>
  <c r="F8" i="8"/>
  <c r="F9" i="13" s="1"/>
  <c r="F5" i="8" a="1"/>
  <c r="F5" i="8" s="1"/>
  <c r="F7" i="8"/>
  <c r="F9" i="8"/>
  <c r="F10" i="13" s="1"/>
  <c r="F2" i="8" a="1"/>
  <c r="F2" i="8" s="1"/>
  <c r="B7" i="9" a="1"/>
  <c r="B7" i="9" s="1"/>
  <c r="C22" i="8"/>
  <c r="H13" i="28" l="1"/>
  <c r="H14" i="28"/>
  <c r="G16" i="28"/>
  <c r="E14" i="28"/>
  <c r="E16" i="28"/>
  <c r="C15" i="28"/>
  <c r="C16" i="28"/>
  <c r="G15" i="28"/>
  <c r="C10" i="8"/>
  <c r="B3" i="12" s="1" a="1"/>
  <c r="B3" i="12" s="1"/>
  <c r="B7" i="14" s="1"/>
  <c r="C8" i="13"/>
  <c r="F6" i="13"/>
  <c r="F5" i="13"/>
  <c r="D16" i="28"/>
  <c r="D15" i="28"/>
  <c r="E8" i="13"/>
  <c r="E10" i="8"/>
  <c r="K14" i="9"/>
  <c r="H17" i="9"/>
  <c r="H16" i="9"/>
  <c r="H14" i="9"/>
  <c r="K17" i="9"/>
  <c r="K16" i="9"/>
  <c r="B5" i="14"/>
  <c r="I15" i="9"/>
  <c r="J15" i="9"/>
  <c r="G15" i="9"/>
  <c r="F15" i="9"/>
  <c r="H15" i="9" s="1"/>
  <c r="B6" i="14"/>
  <c r="C16" i="14"/>
  <c r="C18" i="14" s="1"/>
  <c r="C22" i="14" s="1"/>
  <c r="E16" i="14"/>
  <c r="D17" i="14"/>
  <c r="E17" i="14"/>
  <c r="D16" i="14"/>
  <c r="D18" i="14" s="1"/>
  <c r="D23" i="14" s="1"/>
  <c r="J18" i="9"/>
  <c r="F18" i="9"/>
  <c r="H18" i="9" s="1"/>
  <c r="C14" i="9"/>
  <c r="G18" i="9"/>
  <c r="D14" i="9"/>
  <c r="C17" i="14"/>
  <c r="I18" i="9"/>
  <c r="G2" i="13"/>
  <c r="G3" i="13"/>
  <c r="G4" i="13" s="1"/>
  <c r="A29" i="28"/>
  <c r="F16" i="28"/>
  <c r="F14" i="28"/>
  <c r="F8" i="13"/>
  <c r="F22" i="8"/>
  <c r="F20" i="14"/>
  <c r="F23" i="14"/>
  <c r="C23" i="14"/>
  <c r="B4" i="14"/>
  <c r="C20" i="14"/>
  <c r="H1" i="8"/>
  <c r="H1" i="13"/>
  <c r="H1" i="5"/>
  <c r="B22" i="9"/>
  <c r="B21" i="9"/>
  <c r="B20" i="9"/>
  <c r="G5" i="8" a="1"/>
  <c r="G5" i="8" s="1"/>
  <c r="G7" i="8"/>
  <c r="G11" i="8"/>
  <c r="G6" i="8"/>
  <c r="G9" i="8"/>
  <c r="G10" i="13" s="1"/>
  <c r="G10" i="8"/>
  <c r="G15" i="8"/>
  <c r="G16" i="8" s="1"/>
  <c r="G8" i="8"/>
  <c r="G9" i="13" s="1"/>
  <c r="G19" i="8"/>
  <c r="G20" i="8" s="1"/>
  <c r="G2" i="8" a="1"/>
  <c r="G2" i="8" s="1"/>
  <c r="G4" i="8" a="1"/>
  <c r="G4" i="8" s="1"/>
  <c r="G13" i="8"/>
  <c r="G17" i="8"/>
  <c r="G3" i="8" a="1"/>
  <c r="G3" i="8" s="1"/>
  <c r="B11" i="14" a="1"/>
  <c r="B11" i="14" s="1"/>
  <c r="B11" i="9" a="1"/>
  <c r="B11" i="9" s="1"/>
  <c r="E18" i="14" l="1"/>
  <c r="E22" i="14" s="1"/>
  <c r="B22" i="14" s="1"/>
  <c r="B30" i="14" s="1"/>
  <c r="K15" i="9"/>
  <c r="K18" i="9"/>
  <c r="G6" i="13"/>
  <c r="G5" i="13"/>
  <c r="D19" i="14"/>
  <c r="C17" i="9"/>
  <c r="C16" i="9"/>
  <c r="C18" i="9"/>
  <c r="E14" i="9"/>
  <c r="B14" i="9" s="1"/>
  <c r="C15" i="9"/>
  <c r="C19" i="14"/>
  <c r="D20" i="14"/>
  <c r="D16" i="9"/>
  <c r="D17" i="9"/>
  <c r="D18" i="9"/>
  <c r="D15" i="9"/>
  <c r="H2" i="13"/>
  <c r="H3" i="13"/>
  <c r="H4" i="13" s="1"/>
  <c r="A25" i="28"/>
  <c r="A23" i="28"/>
  <c r="A28" i="28"/>
  <c r="A22" i="28"/>
  <c r="A21" i="28"/>
  <c r="A26" i="28"/>
  <c r="A24" i="28"/>
  <c r="A27" i="28"/>
  <c r="A20" i="28"/>
  <c r="C8" i="28"/>
  <c r="A31" i="9"/>
  <c r="A17" i="12" s="1"/>
  <c r="A28" i="9"/>
  <c r="A14" i="12" s="1"/>
  <c r="C29" i="9"/>
  <c r="C15" i="12" s="1"/>
  <c r="F30" i="9"/>
  <c r="F16" i="12" s="1"/>
  <c r="F29" i="9"/>
  <c r="F15" i="12" s="1"/>
  <c r="B31" i="9"/>
  <c r="B17" i="12" s="1"/>
  <c r="D31" i="9"/>
  <c r="D17" i="12" s="1"/>
  <c r="C26" i="9"/>
  <c r="C12" i="12" s="1"/>
  <c r="F26" i="9"/>
  <c r="F12" i="12" s="1"/>
  <c r="C30" i="9"/>
  <c r="C16" i="12" s="1"/>
  <c r="D28" i="9"/>
  <c r="D14" i="12" s="1"/>
  <c r="F27" i="9"/>
  <c r="F13" i="12" s="1"/>
  <c r="C27" i="9"/>
  <c r="C13" i="12" s="1"/>
  <c r="E28" i="9"/>
  <c r="E14" i="12" s="1"/>
  <c r="E31" i="9"/>
  <c r="E17" i="12" s="1"/>
  <c r="B28" i="9"/>
  <c r="B14" i="12" s="1"/>
  <c r="H11" i="8"/>
  <c r="H13" i="8"/>
  <c r="H7" i="8"/>
  <c r="H2" i="8" a="1"/>
  <c r="H2" i="8" s="1"/>
  <c r="H4" i="8" a="1"/>
  <c r="H4" i="8" s="1"/>
  <c r="H17" i="8"/>
  <c r="H6" i="8"/>
  <c r="H5" i="8" a="1"/>
  <c r="H5" i="8" s="1"/>
  <c r="H15" i="8"/>
  <c r="H16" i="8" s="1"/>
  <c r="H19" i="8"/>
  <c r="H20" i="8" s="1"/>
  <c r="H8" i="8"/>
  <c r="H9" i="13" s="1"/>
  <c r="H9" i="8"/>
  <c r="H10" i="13" s="1"/>
  <c r="H3" i="8" a="1"/>
  <c r="H3" i="8" s="1"/>
  <c r="H10" i="8"/>
  <c r="B21" i="14"/>
  <c r="B24" i="14"/>
  <c r="B65" i="9"/>
  <c r="B68" i="9"/>
  <c r="E68" i="9"/>
  <c r="E65" i="9"/>
  <c r="I1" i="8"/>
  <c r="I1" i="5"/>
  <c r="I1" i="13"/>
  <c r="G22" i="8"/>
  <c r="G8" i="13"/>
  <c r="C36" i="9"/>
  <c r="C49" i="9"/>
  <c r="F69" i="9"/>
  <c r="F66" i="9"/>
  <c r="F59" i="9"/>
  <c r="C66" i="9"/>
  <c r="F46" i="9"/>
  <c r="F56" i="9"/>
  <c r="C56" i="9"/>
  <c r="F39" i="9"/>
  <c r="C59" i="9"/>
  <c r="F36" i="9"/>
  <c r="F49" i="9"/>
  <c r="C46" i="9"/>
  <c r="C69" i="9"/>
  <c r="C39" i="9"/>
  <c r="E23" i="14" l="1"/>
  <c r="B23" i="14" s="1"/>
  <c r="B31" i="14" s="1"/>
  <c r="E20" i="14"/>
  <c r="B20" i="14" s="1"/>
  <c r="B28" i="14" s="1"/>
  <c r="E15" i="9"/>
  <c r="B15" i="9" s="1"/>
  <c r="A48" i="9" s="1"/>
  <c r="E18" i="9"/>
  <c r="B18" i="9" s="1"/>
  <c r="E48" i="9" s="1"/>
  <c r="E16" i="9"/>
  <c r="B16" i="9" s="1"/>
  <c r="D34" i="9" s="1"/>
  <c r="D26" i="9" s="1"/>
  <c r="D12" i="12" s="1"/>
  <c r="K12" i="12" s="1"/>
  <c r="E17" i="9"/>
  <c r="B17" i="9" s="1"/>
  <c r="D38" i="9" s="1"/>
  <c r="B19" i="14"/>
  <c r="B27" i="14" s="1"/>
  <c r="H6" i="13"/>
  <c r="I2" i="13"/>
  <c r="I3" i="13"/>
  <c r="I4" i="13" s="1"/>
  <c r="H5" i="13"/>
  <c r="B13" i="28"/>
  <c r="F31" i="9"/>
  <c r="F17" i="12" s="1"/>
  <c r="C28" i="9"/>
  <c r="C14" i="12" s="1"/>
  <c r="C31" i="9"/>
  <c r="C17" i="12" s="1"/>
  <c r="F28" i="9"/>
  <c r="F14" i="12" s="1"/>
  <c r="A37" i="9"/>
  <c r="A29" i="9" s="1"/>
  <c r="A15" i="12" s="1"/>
  <c r="H15" i="12" s="1"/>
  <c r="I11" i="8"/>
  <c r="I5" i="8" a="1"/>
  <c r="I5" i="8" s="1"/>
  <c r="I9" i="8"/>
  <c r="I10" i="13" s="1"/>
  <c r="I10" i="8"/>
  <c r="I15" i="8"/>
  <c r="I16" i="8" s="1"/>
  <c r="I13" i="8"/>
  <c r="I19" i="8"/>
  <c r="I20" i="8" s="1"/>
  <c r="I2" i="8" a="1"/>
  <c r="I2" i="8" s="1"/>
  <c r="I7" i="8"/>
  <c r="I8" i="8"/>
  <c r="I9" i="13" s="1"/>
  <c r="I3" i="8" a="1"/>
  <c r="I3" i="8" s="1"/>
  <c r="I17" i="8"/>
  <c r="I4" i="8" a="1"/>
  <c r="I4" i="8" s="1"/>
  <c r="I6" i="8"/>
  <c r="J1" i="5"/>
  <c r="J1" i="8"/>
  <c r="J1" i="13"/>
  <c r="H22" i="8"/>
  <c r="H8" i="13"/>
  <c r="D35" i="9" l="1"/>
  <c r="A38" i="9"/>
  <c r="E37" i="9"/>
  <c r="B37" i="9"/>
  <c r="A35" i="9"/>
  <c r="E34" i="9"/>
  <c r="B34" i="9"/>
  <c r="A30" i="9"/>
  <c r="A16" i="12" s="1"/>
  <c r="H16" i="12" s="1" a="1"/>
  <c r="H16" i="12" s="1"/>
  <c r="E35" i="9"/>
  <c r="D37" i="9"/>
  <c r="D57" i="9"/>
  <c r="D55" i="9"/>
  <c r="E55" i="9"/>
  <c r="B44" i="9"/>
  <c r="B57" i="9"/>
  <c r="E57" i="9"/>
  <c r="E29" i="9" s="1"/>
  <c r="E15" i="12" s="1"/>
  <c r="L15" i="12" s="1" a="1"/>
  <c r="L15" i="12" s="1"/>
  <c r="D58" i="9"/>
  <c r="D30" i="9" s="1"/>
  <c r="D16" i="12" s="1"/>
  <c r="K16" i="12" s="1" a="1"/>
  <c r="K16" i="12" s="1"/>
  <c r="B35" i="9"/>
  <c r="B58" i="9"/>
  <c r="E45" i="9"/>
  <c r="E27" i="9" s="1"/>
  <c r="E13" i="12" s="1"/>
  <c r="M13" i="12" s="1" a="1"/>
  <c r="M13" i="12" s="1"/>
  <c r="A34" i="9"/>
  <c r="B32" i="14"/>
  <c r="B45" i="9"/>
  <c r="B38" i="9"/>
  <c r="E38" i="9"/>
  <c r="E58" i="9"/>
  <c r="B55" i="9"/>
  <c r="A45" i="9"/>
  <c r="A44" i="9"/>
  <c r="E44" i="9"/>
  <c r="B29" i="14"/>
  <c r="B48" i="9"/>
  <c r="I6" i="13"/>
  <c r="I5" i="13"/>
  <c r="J2" i="13"/>
  <c r="J3" i="13"/>
  <c r="J4" i="13" s="1"/>
  <c r="B14" i="28"/>
  <c r="B16" i="28"/>
  <c r="B15" i="28"/>
  <c r="B26" i="9"/>
  <c r="B12" i="12" s="1"/>
  <c r="I12" i="12" s="1" a="1"/>
  <c r="I12" i="12" s="1"/>
  <c r="B29" i="9"/>
  <c r="B15" i="12" s="1"/>
  <c r="I15" i="12" s="1" a="1"/>
  <c r="I15" i="12" s="1"/>
  <c r="D29" i="9"/>
  <c r="D15" i="12" s="1"/>
  <c r="K15" i="12" s="1"/>
  <c r="D27" i="9"/>
  <c r="D13" i="12" s="1"/>
  <c r="K14" i="12" s="1" a="1"/>
  <c r="K14" i="12" s="1"/>
  <c r="I8" i="13"/>
  <c r="I22" i="8"/>
  <c r="J15" i="8"/>
  <c r="J16" i="8" s="1"/>
  <c r="J19" i="8"/>
  <c r="J20" i="8" s="1"/>
  <c r="J6" i="8"/>
  <c r="J17" i="8"/>
  <c r="J7" i="8"/>
  <c r="J13" i="8"/>
  <c r="J9" i="8"/>
  <c r="J10" i="13" s="1"/>
  <c r="J2" i="8" a="1"/>
  <c r="J2" i="8" s="1"/>
  <c r="J10" i="8"/>
  <c r="J3" i="8" a="1"/>
  <c r="J3" i="8" s="1"/>
  <c r="J5" i="8" a="1"/>
  <c r="J5" i="8" s="1"/>
  <c r="J11" i="8"/>
  <c r="J4" i="8" a="1"/>
  <c r="J4" i="8" s="1"/>
  <c r="J8" i="8"/>
  <c r="J9" i="13" s="1"/>
  <c r="K1" i="5"/>
  <c r="K1" i="13"/>
  <c r="K1" i="8"/>
  <c r="C19" i="28" l="1"/>
  <c r="F19" i="28" s="1"/>
  <c r="C20" i="28"/>
  <c r="C22" i="28"/>
  <c r="C24" i="28"/>
  <c r="C26" i="28"/>
  <c r="C21" i="28"/>
  <c r="C23" i="28"/>
  <c r="C25" i="28"/>
  <c r="C27" i="28"/>
  <c r="C28" i="28"/>
  <c r="C29" i="28"/>
  <c r="K17" i="12" a="1"/>
  <c r="K17" i="12" s="1"/>
  <c r="A27" i="9"/>
  <c r="A13" i="12" s="1"/>
  <c r="H14" i="12" s="1" a="1"/>
  <c r="H14" i="12" s="1"/>
  <c r="E26" i="9"/>
  <c r="E12" i="12" s="1"/>
  <c r="L12" i="12" s="1" a="1"/>
  <c r="L12" i="12" s="1"/>
  <c r="D19" i="28"/>
  <c r="D26" i="28"/>
  <c r="D27" i="28"/>
  <c r="D29" i="28"/>
  <c r="D21" i="28"/>
  <c r="D22" i="28"/>
  <c r="D28" i="28"/>
  <c r="D20" i="28"/>
  <c r="D23" i="28"/>
  <c r="D24" i="28"/>
  <c r="D25" i="28"/>
  <c r="B19" i="28"/>
  <c r="B29" i="28"/>
  <c r="B28" i="28"/>
  <c r="B27" i="28"/>
  <c r="B26" i="28"/>
  <c r="B25" i="28"/>
  <c r="B24" i="28"/>
  <c r="B23" i="28"/>
  <c r="B22" i="28"/>
  <c r="B21" i="28"/>
  <c r="B20" i="28"/>
  <c r="E30" i="9"/>
  <c r="E16" i="12" s="1"/>
  <c r="L17" i="12" s="1" a="1"/>
  <c r="L17" i="12" s="1"/>
  <c r="A26" i="9"/>
  <c r="A12" i="12" s="1"/>
  <c r="H12" i="12" s="1"/>
  <c r="H17" i="12" a="1"/>
  <c r="H17" i="12" s="1"/>
  <c r="B27" i="9"/>
  <c r="B13" i="12" s="1"/>
  <c r="J13" i="12" s="1" a="1"/>
  <c r="J13" i="12" s="1"/>
  <c r="B30" i="9"/>
  <c r="B16" i="12" s="1"/>
  <c r="J16" i="12" s="1" a="1"/>
  <c r="J16" i="12" s="1"/>
  <c r="J6" i="13"/>
  <c r="J5" i="13"/>
  <c r="K2" i="13"/>
  <c r="K3" i="13"/>
  <c r="K4" i="13" s="1"/>
  <c r="M15" i="12" a="1"/>
  <c r="M15" i="12" s="1"/>
  <c r="J15" i="12" a="1"/>
  <c r="J15" i="12" s="1"/>
  <c r="J12" i="12" a="1"/>
  <c r="J12" i="12" s="1"/>
  <c r="K13" i="12" a="1"/>
  <c r="K13" i="12" s="1"/>
  <c r="M14" i="12" a="1"/>
  <c r="M14" i="12" s="1"/>
  <c r="L14" i="12" a="1"/>
  <c r="L14" i="12" s="1"/>
  <c r="L13" i="12" a="1"/>
  <c r="L13" i="12" s="1"/>
  <c r="J22" i="8"/>
  <c r="J8" i="13"/>
  <c r="K4" i="8" a="1"/>
  <c r="K4" i="8" s="1"/>
  <c r="K3" i="8" a="1"/>
  <c r="K3" i="8" s="1"/>
  <c r="K5" i="8" a="1"/>
  <c r="K5" i="8" s="1"/>
  <c r="K15" i="8"/>
  <c r="K16" i="8" s="1"/>
  <c r="K11" i="8"/>
  <c r="K7" i="8"/>
  <c r="K10" i="8"/>
  <c r="K13" i="8"/>
  <c r="K17" i="8"/>
  <c r="K8" i="8"/>
  <c r="K9" i="13" s="1"/>
  <c r="K2" i="8" a="1"/>
  <c r="K2" i="8" s="1"/>
  <c r="K19" i="8"/>
  <c r="K20" i="8" s="1"/>
  <c r="K9" i="8"/>
  <c r="K10" i="13" s="1"/>
  <c r="K6" i="8"/>
  <c r="L1" i="13"/>
  <c r="L1" i="5"/>
  <c r="L1" i="8"/>
  <c r="H13" i="12" l="1" a="1"/>
  <c r="H13" i="12" s="1"/>
  <c r="M12" i="12" a="1"/>
  <c r="M12" i="12" s="1"/>
  <c r="M16" i="12" a="1"/>
  <c r="M16" i="12" s="1"/>
  <c r="M17" i="12" a="1"/>
  <c r="M17" i="12" s="1"/>
  <c r="L16" i="12" a="1"/>
  <c r="L16" i="12" s="1"/>
  <c r="K6" i="13"/>
  <c r="K5" i="13"/>
  <c r="J14" i="12" a="1"/>
  <c r="J14" i="12" s="1"/>
  <c r="J17" i="12" a="1"/>
  <c r="J17" i="12" s="1"/>
  <c r="I13" i="12" a="1"/>
  <c r="I13" i="12" s="1"/>
  <c r="I16" i="12" a="1"/>
  <c r="I16" i="12" s="1"/>
  <c r="I14" i="12" a="1"/>
  <c r="I14" i="12" s="1"/>
  <c r="I17" i="12" a="1"/>
  <c r="I17" i="12" s="1"/>
  <c r="L2" i="13"/>
  <c r="L3" i="13"/>
  <c r="L4" i="13" s="1"/>
  <c r="F29" i="28"/>
  <c r="H29" i="28"/>
  <c r="H19" i="28"/>
  <c r="I19" i="28" s="1"/>
  <c r="L5" i="13"/>
  <c r="L6" i="13"/>
  <c r="K22" i="8"/>
  <c r="K8" i="13"/>
  <c r="L17" i="8"/>
  <c r="L15" i="8"/>
  <c r="L16" i="8" s="1"/>
  <c r="L8" i="8"/>
  <c r="L9" i="13" s="1"/>
  <c r="L13" i="8"/>
  <c r="L9" i="8"/>
  <c r="L10" i="13" s="1"/>
  <c r="L4" i="8" a="1"/>
  <c r="L4" i="8" s="1"/>
  <c r="L10" i="8"/>
  <c r="L19" i="8"/>
  <c r="L20" i="8" s="1"/>
  <c r="L7" i="8"/>
  <c r="L5" i="8" a="1"/>
  <c r="L5" i="8" s="1"/>
  <c r="L6" i="8"/>
  <c r="L11" i="8"/>
  <c r="L2" i="8" a="1"/>
  <c r="L2" i="8" s="1"/>
  <c r="L3" i="8" a="1"/>
  <c r="L3" i="8" s="1"/>
  <c r="M1" i="13"/>
  <c r="M1" i="5"/>
  <c r="M1" i="8"/>
  <c r="M2" i="13" l="1"/>
  <c r="M3" i="13"/>
  <c r="M4" i="13" s="1"/>
  <c r="I29" i="28"/>
  <c r="I30" i="28" s="1"/>
  <c r="L22" i="8"/>
  <c r="L8" i="13"/>
  <c r="M13" i="8"/>
  <c r="M5" i="8" a="1"/>
  <c r="M5" i="8" s="1"/>
  <c r="M2" i="8" a="1"/>
  <c r="M2" i="8" s="1"/>
  <c r="M6" i="8"/>
  <c r="M4" i="8" a="1"/>
  <c r="M4" i="8" s="1"/>
  <c r="M17" i="8"/>
  <c r="M9" i="8"/>
  <c r="M10" i="13" s="1"/>
  <c r="M15" i="8"/>
  <c r="M16" i="8" s="1"/>
  <c r="M8" i="8"/>
  <c r="M9" i="13" s="1"/>
  <c r="M10" i="8"/>
  <c r="M19" i="8"/>
  <c r="M20" i="8" s="1"/>
  <c r="M11" i="8"/>
  <c r="M7" i="8"/>
  <c r="M3" i="8" a="1"/>
  <c r="M3" i="8" s="1"/>
  <c r="N1" i="8"/>
  <c r="N1" i="13"/>
  <c r="N1" i="5"/>
  <c r="M6" i="13" l="1"/>
  <c r="M5" i="13"/>
  <c r="N2" i="13"/>
  <c r="N3" i="13"/>
  <c r="N4" i="13" s="1"/>
  <c r="M22" i="8"/>
  <c r="M8" i="13"/>
  <c r="O1" i="8"/>
  <c r="O1" i="13"/>
  <c r="O1" i="5"/>
  <c r="N9" i="8"/>
  <c r="N10" i="13" s="1"/>
  <c r="N8" i="8"/>
  <c r="N9" i="13" s="1"/>
  <c r="N11" i="8"/>
  <c r="N10" i="8"/>
  <c r="N13" i="8"/>
  <c r="N17" i="8"/>
  <c r="N15" i="8"/>
  <c r="N16" i="8" s="1"/>
  <c r="N6" i="8"/>
  <c r="N2" i="8" a="1"/>
  <c r="N2" i="8" s="1"/>
  <c r="N5" i="8" a="1"/>
  <c r="N5" i="8" s="1"/>
  <c r="N4" i="8" a="1"/>
  <c r="N4" i="8" s="1"/>
  <c r="N3" i="8" a="1"/>
  <c r="N3" i="8" s="1"/>
  <c r="N7" i="8"/>
  <c r="N19" i="8"/>
  <c r="N20" i="8" s="1"/>
  <c r="N5" i="13" l="1"/>
  <c r="N6" i="13"/>
  <c r="O2" i="13"/>
  <c r="O3" i="13"/>
  <c r="O4" i="13" s="1"/>
  <c r="N22" i="8"/>
  <c r="N8" i="13"/>
  <c r="O8" i="8"/>
  <c r="O9" i="13" s="1"/>
  <c r="O5" i="8" a="1"/>
  <c r="O5" i="8" s="1"/>
  <c r="O2" i="8" a="1"/>
  <c r="O2" i="8" s="1"/>
  <c r="O4" i="8" a="1"/>
  <c r="O4" i="8" s="1"/>
  <c r="O19" i="8"/>
  <c r="O20" i="8" s="1"/>
  <c r="O17" i="8"/>
  <c r="O9" i="8"/>
  <c r="O10" i="13" s="1"/>
  <c r="O11" i="8"/>
  <c r="O7" i="8"/>
  <c r="O10" i="8"/>
  <c r="O15" i="8"/>
  <c r="O16" i="8" s="1"/>
  <c r="O6" i="8"/>
  <c r="O13" i="8"/>
  <c r="O3" i="8" a="1"/>
  <c r="O3" i="8" s="1"/>
  <c r="O6" i="13" l="1"/>
  <c r="O5" i="13"/>
  <c r="O8" i="13"/>
  <c r="O22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<sst xmlns="http://schemas.openxmlformats.org/spreadsheetml/2006/main" count="194" uniqueCount="142">
  <si>
    <t>X [m]</t>
  </si>
  <si>
    <t>Y [m]</t>
  </si>
  <si>
    <t>E [Gpa]</t>
  </si>
  <si>
    <t>qy [kN/m]</t>
  </si>
  <si>
    <t>PY [kN]</t>
  </si>
  <si>
    <t>PX [kN]</t>
  </si>
  <si>
    <t>x_l</t>
  </si>
  <si>
    <t>y_l</t>
  </si>
  <si>
    <t>x_p</t>
  </si>
  <si>
    <t>y_p</t>
  </si>
  <si>
    <t>l</t>
  </si>
  <si>
    <t>sinus</t>
  </si>
  <si>
    <t>cosinus</t>
  </si>
  <si>
    <t>p1</t>
  </si>
  <si>
    <t>p2</t>
  </si>
  <si>
    <t>p3</t>
  </si>
  <si>
    <t>symbol</t>
  </si>
  <si>
    <t>si</t>
  </si>
  <si>
    <t>E</t>
  </si>
  <si>
    <t>A</t>
  </si>
  <si>
    <t>Jz</t>
  </si>
  <si>
    <t>alpha</t>
  </si>
  <si>
    <t>beta</t>
  </si>
  <si>
    <t>upsilon</t>
  </si>
  <si>
    <t>delta</t>
  </si>
  <si>
    <t>cdelta</t>
  </si>
  <si>
    <t>m</t>
  </si>
  <si>
    <t>m2</t>
  </si>
  <si>
    <t>m4</t>
  </si>
  <si>
    <t>SS</t>
  </si>
  <si>
    <t>SS+</t>
  </si>
  <si>
    <t>SS-</t>
  </si>
  <si>
    <t>SP</t>
  </si>
  <si>
    <t>SP-</t>
  </si>
  <si>
    <t>SP+</t>
  </si>
  <si>
    <t>PS-</t>
  </si>
  <si>
    <t>PS+</t>
  </si>
  <si>
    <t>PS</t>
  </si>
  <si>
    <t>PP</t>
  </si>
  <si>
    <t>L</t>
  </si>
  <si>
    <t>sinh(si)</t>
  </si>
  <si>
    <t>cosh(si)</t>
  </si>
  <si>
    <t>UX</t>
  </si>
  <si>
    <t>UY</t>
  </si>
  <si>
    <t>N</t>
  </si>
  <si>
    <t>number of nodes</t>
  </si>
  <si>
    <t>number of members</t>
  </si>
  <si>
    <t>member number</t>
  </si>
  <si>
    <t>left node</t>
  </si>
  <si>
    <t>right node</t>
  </si>
  <si>
    <t xml:space="preserve">Section&amp;Material </t>
  </si>
  <si>
    <t>Y</t>
  </si>
  <si>
    <t>number of supports</t>
  </si>
  <si>
    <t>support number</t>
  </si>
  <si>
    <t>node</t>
  </si>
  <si>
    <t>fixed direction</t>
  </si>
  <si>
    <t>elementu type</t>
  </si>
  <si>
    <t>sinush</t>
  </si>
  <si>
    <t>cosinush</t>
  </si>
  <si>
    <t>wl_p</t>
  </si>
  <si>
    <t>wp_p</t>
  </si>
  <si>
    <t>wl</t>
  </si>
  <si>
    <t>wp</t>
  </si>
  <si>
    <t>Element stiffness matrix in the local coordinate system</t>
  </si>
  <si>
    <t>Stiffness matrix of the element in the global coordinate system</t>
  </si>
  <si>
    <t>gamma</t>
  </si>
  <si>
    <t>q</t>
  </si>
  <si>
    <t>vector of load equivalents in the local system</t>
  </si>
  <si>
    <t>f_e_1</t>
  </si>
  <si>
    <t>f_e_2</t>
  </si>
  <si>
    <t>f_e_3</t>
  </si>
  <si>
    <t>f_e_4</t>
  </si>
  <si>
    <t>f_e_5</t>
  </si>
  <si>
    <t>f_e_6</t>
  </si>
  <si>
    <t>vector of load equivalents in the global system</t>
  </si>
  <si>
    <t>f_l_1</t>
  </si>
  <si>
    <t>f_l_2</t>
  </si>
  <si>
    <t>f_l_3</t>
  </si>
  <si>
    <t>f_l_4</t>
  </si>
  <si>
    <t>f_l_5</t>
  </si>
  <si>
    <t>f_l_6</t>
  </si>
  <si>
    <t>Legend:</t>
  </si>
  <si>
    <t>MZ</t>
  </si>
  <si>
    <t>element</t>
  </si>
  <si>
    <t>IPE100</t>
  </si>
  <si>
    <t>IPE120</t>
  </si>
  <si>
    <t>IPE140</t>
  </si>
  <si>
    <t>IPE160</t>
  </si>
  <si>
    <t>IPE180</t>
  </si>
  <si>
    <t>IPE200</t>
  </si>
  <si>
    <t>IPE220</t>
  </si>
  <si>
    <t>IPE240</t>
  </si>
  <si>
    <t>IPE270</t>
  </si>
  <si>
    <t>IPE300</t>
  </si>
  <si>
    <t>IPE330</t>
  </si>
  <si>
    <t>IPE360</t>
  </si>
  <si>
    <t>IPE400</t>
  </si>
  <si>
    <t>IPE450</t>
  </si>
  <si>
    <t>IPE500</t>
  </si>
  <si>
    <t>IPE550</t>
  </si>
  <si>
    <t>IPE600</t>
  </si>
  <si>
    <t>Name</t>
  </si>
  <si>
    <t>A[cm2]</t>
  </si>
  <si>
    <t>Jz[cm4]</t>
  </si>
  <si>
    <t>A [m2]</t>
  </si>
  <si>
    <t>Jz [m4]</t>
  </si>
  <si>
    <t>E [kPa]</t>
  </si>
  <si>
    <t>axial force</t>
  </si>
  <si>
    <t>compressed</t>
  </si>
  <si>
    <t>kPa</t>
  </si>
  <si>
    <t>l [m]</t>
  </si>
  <si>
    <t>Element</t>
  </si>
  <si>
    <t>Node</t>
  </si>
  <si>
    <t>FY</t>
  </si>
  <si>
    <t>FX</t>
  </si>
  <si>
    <t>right node - MZ  release</t>
  </si>
  <si>
    <t>left node    - MZ  release</t>
  </si>
  <si>
    <t>released direction       - N</t>
  </si>
  <si>
    <t>blocked direction         - Y</t>
  </si>
  <si>
    <t>fi=</t>
  </si>
  <si>
    <t>fj=</t>
  </si>
  <si>
    <t>wj=</t>
  </si>
  <si>
    <t>qy=</t>
  </si>
  <si>
    <t>wi=</t>
  </si>
  <si>
    <t>constant</t>
  </si>
  <si>
    <t>SW</t>
  </si>
  <si>
    <t>w</t>
  </si>
  <si>
    <t>S=</t>
  </si>
  <si>
    <t>x</t>
  </si>
  <si>
    <t>c_a</t>
  </si>
  <si>
    <t>c_b</t>
  </si>
  <si>
    <t>c_c</t>
  </si>
  <si>
    <t>c_d</t>
  </si>
  <si>
    <t>WS</t>
  </si>
  <si>
    <t>Element:</t>
  </si>
  <si>
    <t>MZ released       - Y</t>
  </si>
  <si>
    <t>MZ blocked        - N</t>
  </si>
  <si>
    <t>L [m]</t>
  </si>
  <si>
    <t>distributed load in the local coordinate system</t>
  </si>
  <si>
    <t>nodal loads in the global coordinate system</t>
  </si>
  <si>
    <t>The sheet contains the model as shown in the sketch.</t>
  </si>
  <si>
    <t>Please do not change the gray cells; the white cells are for data entry.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</si>
</sst>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0.0"/>
    <numFmt numFmtId="165" formatCode="0.0000000"/>
    <numFmt numFmtId="166" formatCode="0.000"/>
    <numFmt numFmtId="167" formatCode="0.00000"/>
    <numFmt numFmtId="168" formatCode="0.000000"/>
    <numFmt numFmtId="169" formatCode="0.0000"/>
  </numFmts>
  <fonts count="12" x14ac:knownFonts="1">
    <font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charset val="238"/>
      <scheme val="minor"/>
    </font>
    <font>
      <sz val="11"/>
      <color rgb="FF0070C0"/>
      <name val="Aptos Narrow"/>
      <family val="2"/>
      <charset val="238"/>
      <scheme val="minor"/>
    </font>
    <font>
      <sz val="11"/>
      <name val="Aptos Narrow"/>
      <family val="2"/>
      <scheme val="minor"/>
    </font>
    <font>
      <sz val="8"/>
      <name val="Aptos Narrow"/>
      <family val="2"/>
      <charset val="238"/>
      <scheme val="minor"/>
    </font>
    <font>
      <sz val="11"/>
      <name val="Aptos Narrow"/>
      <family val="2"/>
      <charset val="238"/>
      <scheme val="minor"/>
    </font>
    <font>
      <b/>
      <sz val="10"/>
      <name val="Arial CE"/>
    </font>
    <font>
      <b/>
      <sz val="11"/>
      <name val="Aptos Narrow"/>
      <family val="2"/>
      <scheme val="minor"/>
    </font>
    <font>
      <sz val="14"/>
      <color theme="1"/>
      <name val="Aptos Narrow"/>
      <family val="2"/>
      <charset val="238"/>
      <scheme val="minor"/>
    </font>
    <font>
      <sz val="10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30">
    <xf numFmtId="0" fontId="0" fillId="0" borderId="0" xfId="0"/>
    <xf numFmtId="49" fontId="0" fillId="0" borderId="0" xfId="0" applyNumberFormat="1" applyAlignment="1">
      <alignment horizontal="right"/>
    </xf>
    <xf numFmtId="2" fontId="0" fillId="0" borderId="0" xfId="0" applyNumberFormat="1"/>
    <xf numFmtId="0" fontId="0" fillId="0" borderId="0" xfId="0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43" fontId="0" fillId="0" borderId="0" xfId="1" applyFont="1" applyFill="1" applyAlignment="1">
      <alignment horizontal="center"/>
    </xf>
    <xf numFmtId="43" fontId="0" fillId="0" borderId="0" xfId="1" applyFont="1" applyAlignment="1">
      <alignment horizontal="right"/>
    </xf>
    <xf numFmtId="43" fontId="0" fillId="0" borderId="0" xfId="1" applyFont="1" applyBorder="1" applyAlignment="1">
      <alignment horizontal="right"/>
    </xf>
    <xf numFmtId="43" fontId="0" fillId="0" borderId="0" xfId="1" applyFont="1" applyAlignment="1">
      <alignment horizontal="center"/>
    </xf>
    <xf numFmtId="2" fontId="0" fillId="0" borderId="0" xfId="1" applyNumberFormat="1" applyFont="1" applyFill="1"/>
    <xf numFmtId="2" fontId="0" fillId="0" borderId="0" xfId="1" applyNumberFormat="1" applyFont="1" applyFill="1" applyAlignment="1">
      <alignment horizontal="center"/>
    </xf>
    <xf numFmtId="2" fontId="0" fillId="0" borderId="0" xfId="1" applyNumberFormat="1" applyFont="1" applyAlignment="1">
      <alignment horizontal="center"/>
    </xf>
    <xf numFmtId="2" fontId="0" fillId="0" borderId="0" xfId="1" applyNumberFormat="1" applyFont="1" applyAlignment="1">
      <alignment horizontal="left"/>
    </xf>
    <xf numFmtId="2" fontId="0" fillId="0" borderId="0" xfId="1" applyNumberFormat="1" applyFont="1"/>
    <xf numFmtId="2" fontId="0" fillId="0" borderId="0" xfId="1" applyNumberFormat="1" applyFont="1" applyFill="1" applyAlignment="1">
      <alignment horizontal="left"/>
    </xf>
    <xf numFmtId="43" fontId="3" fillId="0" borderId="0" xfId="1" applyFont="1" applyAlignment="1">
      <alignment horizontal="right"/>
    </xf>
    <xf numFmtId="2" fontId="0" fillId="0" borderId="0" xfId="0" applyNumberFormat="1" applyAlignment="1">
      <alignment horizontal="center"/>
    </xf>
    <xf numFmtId="1" fontId="0" fillId="0" borderId="0" xfId="0" applyNumberFormat="1"/>
    <xf numFmtId="1" fontId="4" fillId="0" borderId="0" xfId="0" applyNumberFormat="1" applyFont="1"/>
    <xf numFmtId="0" fontId="0" fillId="2" borderId="1" xfId="0" applyFill="1" applyBorder="1"/>
    <xf numFmtId="0" fontId="7" fillId="0" borderId="0" xfId="0" applyFont="1"/>
    <xf numFmtId="2" fontId="7" fillId="0" borderId="0" xfId="0" applyNumberFormat="1" applyFont="1"/>
    <xf numFmtId="2" fontId="1" fillId="0" borderId="0" xfId="0" applyNumberFormat="1" applyFont="1" applyAlignment="1">
      <alignment horizontal="center"/>
    </xf>
    <xf numFmtId="2" fontId="0" fillId="0" borderId="1" xfId="0" applyNumberFormat="1" applyBorder="1"/>
    <xf numFmtId="167" fontId="0" fillId="0" borderId="0" xfId="0" applyNumberFormat="1"/>
    <xf numFmtId="165" fontId="0" fillId="0" borderId="0" xfId="0" applyNumberFormat="1"/>
    <xf numFmtId="2" fontId="9" fillId="0" borderId="0" xfId="0" applyNumberFormat="1" applyFont="1" applyAlignment="1">
      <alignment horizontal="center"/>
    </xf>
    <xf numFmtId="2" fontId="5" fillId="0" borderId="0" xfId="0" applyNumberFormat="1" applyFont="1"/>
    <xf numFmtId="1" fontId="9" fillId="0" borderId="0" xfId="0" applyNumberFormat="1" applyFont="1" applyAlignment="1">
      <alignment horizontal="center"/>
    </xf>
    <xf numFmtId="1" fontId="5" fillId="0" borderId="0" xfId="0" applyNumberFormat="1" applyFont="1"/>
    <xf numFmtId="1" fontId="0" fillId="0" borderId="1" xfId="0" applyNumberFormat="1" applyBorder="1"/>
    <xf numFmtId="2" fontId="10" fillId="0" borderId="0" xfId="0" applyNumberFormat="1" applyFont="1"/>
    <xf numFmtId="1" fontId="10" fillId="2" borderId="0" xfId="0" applyNumberFormat="1" applyFont="1" applyFill="1"/>
    <xf numFmtId="0" fontId="0" fillId="3" borderId="0" xfId="0" applyFill="1"/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0" borderId="0" xfId="0" applyAlignment="1">
      <alignment horizontal="left" wrapText="1"/>
    </xf>
    <xf numFmtId="0" fontId="7" fillId="3" borderId="0" xfId="0" applyFont="1" applyFill="1" applyAlignment="1">
      <alignment horizontal="center"/>
    </xf>
    <xf numFmtId="0" fontId="7" fillId="3" borderId="0" xfId="0" applyFont="1" applyFill="1"/>
    <xf numFmtId="0" fontId="2" fillId="3" borderId="1" xfId="0" applyFont="1" applyFill="1" applyBorder="1"/>
    <xf numFmtId="0" fontId="1" fillId="3" borderId="1" xfId="0" applyFont="1" applyFill="1" applyBorder="1"/>
    <xf numFmtId="0" fontId="2" fillId="0" borderId="1" xfId="0" applyFont="1" applyBorder="1"/>
    <xf numFmtId="0" fontId="2" fillId="3" borderId="1" xfId="0" applyFont="1" applyFill="1" applyBorder="1" applyAlignment="1">
      <alignment horizontal="left"/>
    </xf>
    <xf numFmtId="0" fontId="2" fillId="0" borderId="1" xfId="0" applyFont="1" applyBorder="1" applyAlignment="1">
      <alignment horizontal="right"/>
    </xf>
    <xf numFmtId="0" fontId="0" fillId="3" borderId="1" xfId="0" applyFill="1" applyBorder="1" applyAlignment="1">
      <alignment horizontal="left" wrapText="1"/>
    </xf>
    <xf numFmtId="0" fontId="7" fillId="3" borderId="1" xfId="0" applyFont="1" applyFill="1" applyBorder="1" applyAlignment="1">
      <alignment horizontal="center"/>
    </xf>
    <xf numFmtId="0" fontId="8" fillId="3" borderId="1" xfId="0" applyFont="1" applyFill="1" applyBorder="1" applyProtection="1">
      <protection locked="0"/>
    </xf>
    <xf numFmtId="2" fontId="7" fillId="0" borderId="1" xfId="0" applyNumberFormat="1" applyFont="1" applyBorder="1"/>
    <xf numFmtId="2" fontId="7" fillId="0" borderId="1" xfId="0" applyNumberFormat="1" applyFont="1" applyBorder="1" applyAlignment="1">
      <alignment horizontal="right"/>
    </xf>
    <xf numFmtId="0" fontId="7" fillId="0" borderId="1" xfId="0" applyFont="1" applyBorder="1"/>
    <xf numFmtId="0" fontId="7" fillId="3" borderId="1" xfId="0" applyFont="1" applyFill="1" applyBorder="1"/>
    <xf numFmtId="0" fontId="7" fillId="0" borderId="1" xfId="0" applyFont="1" applyBorder="1" applyAlignment="1">
      <alignment horizontal="right"/>
    </xf>
    <xf numFmtId="49" fontId="0" fillId="0" borderId="1" xfId="0" applyNumberFormat="1" applyBorder="1" applyAlignment="1">
      <alignment horizontal="right"/>
    </xf>
    <xf numFmtId="0" fontId="0" fillId="3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167" fontId="0" fillId="3" borderId="1" xfId="1" applyNumberFormat="1" applyFont="1" applyFill="1" applyBorder="1"/>
    <xf numFmtId="167" fontId="0" fillId="3" borderId="1" xfId="0" applyNumberFormat="1" applyFill="1" applyBorder="1"/>
    <xf numFmtId="2" fontId="0" fillId="3" borderId="1" xfId="0" applyNumberFormat="1" applyFill="1" applyBorder="1"/>
    <xf numFmtId="1" fontId="1" fillId="3" borderId="1" xfId="0" applyNumberFormat="1" applyFont="1" applyFill="1" applyBorder="1" applyAlignment="1">
      <alignment horizontal="center"/>
    </xf>
    <xf numFmtId="2" fontId="1" fillId="3" borderId="1" xfId="0" applyNumberFormat="1" applyFont="1" applyFill="1" applyBorder="1" applyAlignment="1">
      <alignment horizontal="center"/>
    </xf>
    <xf numFmtId="2" fontId="0" fillId="0" borderId="0" xfId="1" applyNumberFormat="1" applyFont="1" applyBorder="1" applyAlignment="1">
      <alignment horizontal="center"/>
    </xf>
    <xf numFmtId="166" fontId="0" fillId="3" borderId="1" xfId="0" applyNumberFormat="1" applyFill="1" applyBorder="1"/>
    <xf numFmtId="49" fontId="0" fillId="3" borderId="1" xfId="1" applyNumberFormat="1" applyFont="1" applyFill="1" applyBorder="1" applyAlignment="1">
      <alignment horizontal="left"/>
    </xf>
    <xf numFmtId="2" fontId="0" fillId="3" borderId="1" xfId="1" applyNumberFormat="1" applyFont="1" applyFill="1" applyBorder="1" applyAlignment="1">
      <alignment horizontal="right"/>
    </xf>
    <xf numFmtId="2" fontId="0" fillId="3" borderId="1" xfId="1" applyNumberFormat="1" applyFont="1" applyFill="1" applyBorder="1" applyAlignment="1">
      <alignment horizontal="center"/>
    </xf>
    <xf numFmtId="43" fontId="3" fillId="3" borderId="1" xfId="1" applyFont="1" applyFill="1" applyBorder="1" applyAlignment="1">
      <alignment horizontal="right"/>
    </xf>
    <xf numFmtId="164" fontId="3" fillId="3" borderId="1" xfId="1" applyNumberFormat="1" applyFont="1" applyFill="1" applyBorder="1" applyAlignment="1">
      <alignment horizontal="center"/>
    </xf>
    <xf numFmtId="1" fontId="5" fillId="3" borderId="1" xfId="0" applyNumberFormat="1" applyFont="1" applyFill="1" applyBorder="1"/>
    <xf numFmtId="2" fontId="2" fillId="3" borderId="1" xfId="0" applyNumberFormat="1" applyFont="1" applyFill="1" applyBorder="1" applyAlignment="1">
      <alignment horizontal="center"/>
    </xf>
    <xf numFmtId="2" fontId="0" fillId="3" borderId="1" xfId="0" applyNumberFormat="1" applyFill="1" applyBorder="1" applyAlignment="1">
      <alignment horizontal="center"/>
    </xf>
    <xf numFmtId="0" fontId="0" fillId="3" borderId="0" xfId="0" applyFill="1" applyAlignment="1">
      <alignment horizontal="right"/>
    </xf>
    <xf numFmtId="43" fontId="0" fillId="3" borderId="0" xfId="1" applyFont="1" applyFill="1" applyAlignment="1">
      <alignment horizontal="right"/>
    </xf>
    <xf numFmtId="43" fontId="0" fillId="3" borderId="0" xfId="1" applyFont="1" applyFill="1" applyBorder="1" applyAlignment="1">
      <alignment horizontal="right"/>
    </xf>
    <xf numFmtId="49" fontId="0" fillId="3" borderId="0" xfId="1" applyNumberFormat="1" applyFont="1" applyFill="1" applyBorder="1" applyAlignment="1">
      <alignment horizontal="left"/>
    </xf>
    <xf numFmtId="43" fontId="0" fillId="3" borderId="0" xfId="1" applyFont="1" applyFill="1" applyBorder="1" applyAlignment="1">
      <alignment horizontal="left"/>
    </xf>
    <xf numFmtId="2" fontId="0" fillId="3" borderId="0" xfId="1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3" borderId="0" xfId="0" applyFont="1" applyFill="1" applyAlignment="1">
      <alignment horizontal="right"/>
    </xf>
    <xf numFmtId="2" fontId="7" fillId="3" borderId="0" xfId="1" applyNumberFormat="1" applyFont="1" applyFill="1" applyAlignment="1">
      <alignment horizontal="right"/>
    </xf>
    <xf numFmtId="0" fontId="7" fillId="3" borderId="0" xfId="0" applyFont="1" applyFill="1" applyAlignment="1">
      <alignment horizontal="left"/>
    </xf>
    <xf numFmtId="43" fontId="7" fillId="3" borderId="0" xfId="1" applyFont="1" applyFill="1" applyAlignment="1">
      <alignment horizontal="right"/>
    </xf>
    <xf numFmtId="2" fontId="7" fillId="3" borderId="0" xfId="1" applyNumberFormat="1" applyFont="1" applyFill="1" applyAlignment="1">
      <alignment horizontal="center"/>
    </xf>
    <xf numFmtId="43" fontId="7" fillId="3" borderId="0" xfId="1" applyFont="1" applyFill="1" applyBorder="1" applyAlignment="1">
      <alignment horizontal="right"/>
    </xf>
    <xf numFmtId="1" fontId="7" fillId="3" borderId="0" xfId="1" applyNumberFormat="1" applyFont="1" applyFill="1" applyAlignment="1">
      <alignment horizontal="center"/>
    </xf>
    <xf numFmtId="43" fontId="7" fillId="3" borderId="0" xfId="1" applyFont="1" applyFill="1" applyBorder="1" applyAlignment="1">
      <alignment horizontal="left"/>
    </xf>
    <xf numFmtId="43" fontId="7" fillId="3" borderId="0" xfId="1" applyFont="1" applyFill="1" applyAlignment="1">
      <alignment horizontal="center"/>
    </xf>
    <xf numFmtId="43" fontId="7" fillId="3" borderId="0" xfId="1" applyFont="1" applyFill="1" applyAlignment="1">
      <alignment horizontal="left"/>
    </xf>
    <xf numFmtId="1" fontId="7" fillId="3" borderId="1" xfId="0" applyNumberFormat="1" applyFont="1" applyFill="1" applyBorder="1"/>
    <xf numFmtId="1" fontId="7" fillId="3" borderId="0" xfId="0" applyNumberFormat="1" applyFont="1" applyFill="1"/>
    <xf numFmtId="1" fontId="0" fillId="3" borderId="0" xfId="1" applyNumberFormat="1" applyFont="1" applyFill="1" applyAlignment="1">
      <alignment horizontal="center"/>
    </xf>
    <xf numFmtId="2" fontId="0" fillId="3" borderId="0" xfId="1" applyNumberFormat="1" applyFont="1" applyFill="1" applyBorder="1" applyAlignment="1">
      <alignment horizontal="center"/>
    </xf>
    <xf numFmtId="2" fontId="0" fillId="3" borderId="5" xfId="0" applyNumberFormat="1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2" fontId="0" fillId="3" borderId="7" xfId="0" applyNumberFormat="1" applyFill="1" applyBorder="1"/>
    <xf numFmtId="0" fontId="0" fillId="3" borderId="0" xfId="0" applyFill="1" applyAlignment="1">
      <alignment horizontal="left"/>
    </xf>
    <xf numFmtId="2" fontId="0" fillId="3" borderId="0" xfId="0" applyNumberFormat="1" applyFill="1" applyAlignment="1">
      <alignment horizontal="right"/>
    </xf>
    <xf numFmtId="165" fontId="0" fillId="3" borderId="0" xfId="1" applyNumberFormat="1" applyFont="1" applyFill="1" applyBorder="1" applyAlignment="1">
      <alignment horizontal="right"/>
    </xf>
    <xf numFmtId="2" fontId="0" fillId="3" borderId="0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center"/>
    </xf>
    <xf numFmtId="49" fontId="0" fillId="3" borderId="0" xfId="0" applyNumberFormat="1" applyFill="1" applyAlignment="1">
      <alignment horizontal="left"/>
    </xf>
    <xf numFmtId="43" fontId="0" fillId="3" borderId="0" xfId="1" applyFont="1" applyFill="1" applyBorder="1" applyAlignment="1">
      <alignment horizontal="center"/>
    </xf>
    <xf numFmtId="1" fontId="0" fillId="3" borderId="0" xfId="0" applyNumberFormat="1" applyFill="1"/>
    <xf numFmtId="1" fontId="4" fillId="3" borderId="0" xfId="0" applyNumberFormat="1" applyFont="1" applyFill="1"/>
    <xf numFmtId="2" fontId="0" fillId="3" borderId="0" xfId="1" applyNumberFormat="1" applyFont="1" applyFill="1" applyBorder="1" applyAlignment="1">
      <alignment horizontal="left"/>
    </xf>
    <xf numFmtId="2" fontId="0" fillId="3" borderId="0" xfId="1" applyNumberFormat="1" applyFont="1" applyFill="1" applyBorder="1"/>
    <xf numFmtId="2" fontId="0" fillId="3" borderId="0" xfId="0" applyNumberFormat="1" applyFill="1" applyAlignment="1">
      <alignment horizontal="center"/>
    </xf>
    <xf numFmtId="2" fontId="0" fillId="0" borderId="0" xfId="1" applyNumberFormat="1" applyFont="1" applyFill="1" applyBorder="1" applyAlignment="1">
      <alignment horizontal="center"/>
    </xf>
    <xf numFmtId="43" fontId="0" fillId="0" borderId="0" xfId="1" applyFont="1" applyFill="1" applyBorder="1" applyAlignment="1">
      <alignment horizontal="center"/>
    </xf>
    <xf numFmtId="43" fontId="0" fillId="0" borderId="0" xfId="1" applyFont="1" applyBorder="1" applyAlignment="1">
      <alignment horizontal="center"/>
    </xf>
    <xf numFmtId="0" fontId="2" fillId="3" borderId="2" xfId="0" applyFont="1" applyFill="1" applyBorder="1"/>
    <xf numFmtId="0" fontId="2" fillId="3" borderId="3" xfId="0" applyFont="1" applyFill="1" applyBorder="1"/>
    <xf numFmtId="43" fontId="2" fillId="3" borderId="2" xfId="1" applyFont="1" applyFill="1" applyBorder="1"/>
    <xf numFmtId="167" fontId="2" fillId="3" borderId="3" xfId="0" applyNumberFormat="1" applyFont="1" applyFill="1" applyBorder="1"/>
    <xf numFmtId="165" fontId="2" fillId="3" borderId="1" xfId="0" applyNumberFormat="1" applyFont="1" applyFill="1" applyBorder="1"/>
    <xf numFmtId="1" fontId="11" fillId="3" borderId="1" xfId="0" applyNumberFormat="1" applyFont="1" applyFill="1" applyBorder="1"/>
    <xf numFmtId="2" fontId="2" fillId="3" borderId="1" xfId="1" applyNumberFormat="1" applyFont="1" applyFill="1" applyBorder="1"/>
    <xf numFmtId="0" fontId="2" fillId="3" borderId="4" xfId="0" applyFont="1" applyFill="1" applyBorder="1"/>
    <xf numFmtId="0" fontId="2" fillId="3" borderId="3" xfId="0" applyFont="1" applyFill="1" applyBorder="1" applyAlignment="1">
      <alignment horizontal="right"/>
    </xf>
    <xf numFmtId="0" fontId="2" fillId="3" borderId="1" xfId="0" applyFont="1" applyFill="1" applyBorder="1" applyAlignment="1">
      <alignment horizontal="right"/>
    </xf>
    <xf numFmtId="0" fontId="2" fillId="3" borderId="2" xfId="0" applyFont="1" applyFill="1" applyBorder="1" applyAlignment="1">
      <alignment horizontal="right"/>
    </xf>
    <xf numFmtId="168" fontId="0" fillId="3" borderId="0" xfId="1" applyNumberFormat="1" applyFont="1" applyFill="1" applyBorder="1"/>
    <xf numFmtId="2" fontId="0" fillId="3" borderId="0" xfId="0" applyNumberFormat="1" applyFill="1"/>
    <xf numFmtId="165" fontId="0" fillId="3" borderId="0" xfId="0" applyNumberFormat="1" applyFill="1"/>
    <xf numFmtId="167" fontId="0" fillId="3" borderId="0" xfId="0" applyNumberFormat="1" applyFill="1"/>
    <xf numFmtId="169" fontId="0" fillId="3" borderId="1" xfId="0" applyNumberFormat="1" applyFill="1" applyBorder="1"/>
  </cellXfs>
  <cellStyles count="2">
    <cellStyle name="Dziesiętny" xfId="1" builtinId="3"/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deflection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747594050743657E-2"/>
          <c:y val="0.17634259259259263"/>
          <c:w val="0.87747462817147859"/>
          <c:h val="0.72125801983085447"/>
        </c:manualLayout>
      </c:layout>
      <c:lineChart>
        <c:grouping val="standard"/>
        <c:varyColors val="0"/>
        <c:ser>
          <c:idx val="0"/>
          <c:order val="0"/>
          <c:tx>
            <c:strRef>
              <c:f>element_integration_constants!$B$18</c:f>
              <c:strCache>
                <c:ptCount val="1"/>
                <c:pt idx="0">
                  <c:v>w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element_integration_constants!$A$19:$A$29</c:f>
              <c:numCache>
                <c:formatCode>General</c:formatCode>
                <c:ptCount val="11"/>
                <c:pt idx="0">
                  <c:v>0</c:v>
                </c:pt>
                <c:pt idx="1">
                  <c:v>1.4142135623730951</c:v>
                </c:pt>
                <c:pt idx="2">
                  <c:v>2.8284271247461903</c:v>
                </c:pt>
                <c:pt idx="3">
                  <c:v>4.2426406871192857</c:v>
                </c:pt>
                <c:pt idx="4">
                  <c:v>5.6568542494923806</c:v>
                </c:pt>
                <c:pt idx="5">
                  <c:v>7.0710678118654755</c:v>
                </c:pt>
                <c:pt idx="6">
                  <c:v>8.4852813742385713</c:v>
                </c:pt>
                <c:pt idx="7">
                  <c:v>9.8994949366116654</c:v>
                </c:pt>
                <c:pt idx="8">
                  <c:v>11.313708498984761</c:v>
                </c:pt>
                <c:pt idx="9">
                  <c:v>12.727922061357855</c:v>
                </c:pt>
                <c:pt idx="10">
                  <c:v>14.142135623730951</c:v>
                </c:pt>
              </c:numCache>
            </c:numRef>
          </c:cat>
          <c:val>
            <c:numRef>
              <c:f>element_integration_constants!$B$19:$B$29</c:f>
              <c:numCache>
                <c:formatCode>0.0000</c:formatCode>
                <c:ptCount val="11"/>
                <c:pt idx="0">
                  <c:v>0</c:v>
                </c:pt>
                <c:pt idx="1">
                  <c:v>8.4967201731224299E-4</c:v>
                </c:pt>
                <c:pt idx="2">
                  <c:v>6.0666091604696295E-3</c:v>
                </c:pt>
                <c:pt idx="3">
                  <c:v>1.7929521835183638E-2</c:v>
                </c:pt>
                <c:pt idx="4">
                  <c:v>3.6438697116110828E-2</c:v>
                </c:pt>
                <c:pt idx="5">
                  <c:v>5.9315998746852845E-2</c:v>
                </c:pt>
                <c:pt idx="6">
                  <c:v>8.2004867139956458E-2</c:v>
                </c:pt>
                <c:pt idx="7">
                  <c:v>9.7670319376913506E-2</c:v>
                </c:pt>
                <c:pt idx="8">
                  <c:v>9.7198949208160856E-2</c:v>
                </c:pt>
                <c:pt idx="9">
                  <c:v>6.9198927053080617E-2</c:v>
                </c:pt>
                <c:pt idx="10">
                  <c:v>-3.3306690738754696E-16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A7A-4E69-9D38-DA85571D0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7216431"/>
        <c:axId val="1297751311"/>
      </c:lineChart>
      <c:catAx>
        <c:axId val="142721643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751311"/>
        <c:crosses val="autoZero"/>
        <c:auto val="1"/>
        <c:lblAlgn val="ctr"/>
        <c:lblOffset val="100"/>
        <c:noMultiLvlLbl val="0"/>
      </c:catAx>
      <c:valAx>
        <c:axId val="1297751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2164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MZ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element_integration_constants!$A$19:$A$29</c:f>
              <c:numCache>
                <c:formatCode>General</c:formatCode>
                <c:ptCount val="11"/>
                <c:pt idx="0">
                  <c:v>0</c:v>
                </c:pt>
                <c:pt idx="1">
                  <c:v>1.4142135623730951</c:v>
                </c:pt>
                <c:pt idx="2">
                  <c:v>2.8284271247461903</c:v>
                </c:pt>
                <c:pt idx="3">
                  <c:v>4.2426406871192857</c:v>
                </c:pt>
                <c:pt idx="4">
                  <c:v>5.6568542494923806</c:v>
                </c:pt>
                <c:pt idx="5">
                  <c:v>7.0710678118654755</c:v>
                </c:pt>
                <c:pt idx="6">
                  <c:v>8.4852813742385713</c:v>
                </c:pt>
                <c:pt idx="7">
                  <c:v>9.8994949366116654</c:v>
                </c:pt>
                <c:pt idx="8">
                  <c:v>11.313708498984761</c:v>
                </c:pt>
                <c:pt idx="9">
                  <c:v>12.727922061357855</c:v>
                </c:pt>
                <c:pt idx="10">
                  <c:v>14.142135623730951</c:v>
                </c:pt>
              </c:numCache>
            </c:numRef>
          </c:cat>
          <c:val>
            <c:numRef>
              <c:f>element_integration_constants!$C$19:$C$29</c:f>
              <c:numCache>
                <c:formatCode>0.00</c:formatCode>
                <c:ptCount val="11"/>
                <c:pt idx="0">
                  <c:v>0</c:v>
                </c:pt>
                <c:pt idx="1">
                  <c:v>-40.002519941335329</c:v>
                </c:pt>
                <c:pt idx="2">
                  <c:v>-60.005039882670665</c:v>
                </c:pt>
                <c:pt idx="3">
                  <c:v>-60.007559824006002</c:v>
                </c:pt>
                <c:pt idx="4">
                  <c:v>-40.01007976534131</c:v>
                </c:pt>
                <c:pt idx="5">
                  <c:v>-1.2599706676614489E-2</c:v>
                </c:pt>
                <c:pt idx="6">
                  <c:v>59.984880351988032</c:v>
                </c:pt>
                <c:pt idx="7">
                  <c:v>139.98236041065266</c:v>
                </c:pt>
                <c:pt idx="8">
                  <c:v>239.97984046931742</c:v>
                </c:pt>
                <c:pt idx="9">
                  <c:v>359.97732052798204</c:v>
                </c:pt>
                <c:pt idx="10">
                  <c:v>499.97480058664684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DD-4449-B821-5C41C9782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9399567"/>
        <c:axId val="2111686863"/>
      </c:areaChart>
      <c:catAx>
        <c:axId val="15393995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1686863"/>
        <c:crosses val="autoZero"/>
        <c:auto val="1"/>
        <c:lblAlgn val="ctr"/>
        <c:lblOffset val="100"/>
        <c:noMultiLvlLbl val="0"/>
      </c:catAx>
      <c:valAx>
        <c:axId val="2111686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93995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FY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element_integration_constants!$A$19:$A$29</c:f>
              <c:numCache>
                <c:formatCode>General</c:formatCode>
                <c:ptCount val="11"/>
                <c:pt idx="0">
                  <c:v>0</c:v>
                </c:pt>
                <c:pt idx="1">
                  <c:v>1.4142135623730951</c:v>
                </c:pt>
                <c:pt idx="2">
                  <c:v>2.8284271247461903</c:v>
                </c:pt>
                <c:pt idx="3">
                  <c:v>4.2426406871192857</c:v>
                </c:pt>
                <c:pt idx="4">
                  <c:v>5.6568542494923806</c:v>
                </c:pt>
                <c:pt idx="5">
                  <c:v>7.0710678118654755</c:v>
                </c:pt>
                <c:pt idx="6">
                  <c:v>8.4852813742385713</c:v>
                </c:pt>
                <c:pt idx="7">
                  <c:v>9.8994949366116654</c:v>
                </c:pt>
                <c:pt idx="8">
                  <c:v>11.313708498984761</c:v>
                </c:pt>
                <c:pt idx="9">
                  <c:v>12.727922061357855</c:v>
                </c:pt>
                <c:pt idx="10">
                  <c:v>14.142135623730951</c:v>
                </c:pt>
              </c:numCache>
            </c:numRef>
          </c:cat>
          <c:val>
            <c:numRef>
              <c:f>element_integration_constants!$D$19:$D$29</c:f>
              <c:numCache>
                <c:formatCode>0.00</c:formatCode>
                <c:ptCount val="11"/>
                <c:pt idx="0">
                  <c:v>-35.357120926933781</c:v>
                </c:pt>
                <c:pt idx="1">
                  <c:v>-21.21498530320283</c:v>
                </c:pt>
                <c:pt idx="2">
                  <c:v>-7.0728496794718776</c:v>
                </c:pt>
                <c:pt idx="3">
                  <c:v>7.0692859442590761</c:v>
                </c:pt>
                <c:pt idx="4">
                  <c:v>21.211421567990026</c:v>
                </c:pt>
                <c:pt idx="5">
                  <c:v>35.353557191720967</c:v>
                </c:pt>
                <c:pt idx="6">
                  <c:v>49.495692815451932</c:v>
                </c:pt>
                <c:pt idx="7">
                  <c:v>63.637828439182869</c:v>
                </c:pt>
                <c:pt idx="8">
                  <c:v>77.779964062913834</c:v>
                </c:pt>
                <c:pt idx="9">
                  <c:v>91.922099686644771</c:v>
                </c:pt>
                <c:pt idx="10">
                  <c:v>106.06423531037572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F9-49F1-82A3-A81E55483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7912272"/>
        <c:axId val="2005321040"/>
      </c:areaChart>
      <c:catAx>
        <c:axId val="1987912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321040"/>
        <c:crosses val="autoZero"/>
        <c:auto val="1"/>
        <c:lblAlgn val="ctr"/>
        <c:lblOffset val="100"/>
        <c:noMultiLvlLbl val="0"/>
      </c:catAx>
      <c:valAx>
        <c:axId val="200532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912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314325</xdr:colOff>
      <xdr:row>10</xdr:row>
      <xdr:rowOff>28576</xdr:rowOff>
    </xdr:from>
    <xdr:to>
      <xdr:col>5</xdr:col>
      <xdr:colOff>500913</xdr:colOff>
      <xdr:row>22</xdr:row>
      <xdr:rowOff>0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4DB1F9E2-5ECC-5C35-4BC1-6617E6BDC8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4325" y="1933576"/>
          <a:ext cx="3682263" cy="2257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14</xdr:row>
      <xdr:rowOff>114301</xdr:rowOff>
    </xdr:from>
    <xdr:to>
      <xdr:col>2</xdr:col>
      <xdr:colOff>0</xdr:colOff>
      <xdr:row>32</xdr:row>
      <xdr:rowOff>71217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D3074981-6375-0D06-9648-C78D370F22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781301"/>
          <a:ext cx="2381250" cy="338591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12</xdr:row>
      <xdr:rowOff>76200</xdr:rowOff>
    </xdr:from>
    <xdr:to>
      <xdr:col>2</xdr:col>
      <xdr:colOff>370045</xdr:colOff>
      <xdr:row>20</xdr:row>
      <xdr:rowOff>28575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5618D3F4-AC06-91D3-C960-C0591636C4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362200"/>
          <a:ext cx="2751295" cy="14763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57151</xdr:colOff>
      <xdr:row>5</xdr:row>
      <xdr:rowOff>152400</xdr:rowOff>
    </xdr:from>
    <xdr:to>
      <xdr:col>0</xdr:col>
      <xdr:colOff>1460600</xdr:colOff>
      <xdr:row>13</xdr:row>
      <xdr:rowOff>131885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BC0517C6-AD7B-8802-E727-1E149C77A7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1" y="1104900"/>
          <a:ext cx="1403449" cy="150348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85726</xdr:colOff>
      <xdr:row>6</xdr:row>
      <xdr:rowOff>133351</xdr:rowOff>
    </xdr:from>
    <xdr:to>
      <xdr:col>1</xdr:col>
      <xdr:colOff>596319</xdr:colOff>
      <xdr:row>15</xdr:row>
      <xdr:rowOff>57151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A8D56136-75A1-7C26-A570-CAA6D6548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6" y="1276351"/>
          <a:ext cx="1567868" cy="16383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201145</xdr:colOff>
      <xdr:row>0</xdr:row>
      <xdr:rowOff>0</xdr:rowOff>
    </xdr:from>
    <xdr:to>
      <xdr:col>21</xdr:col>
      <xdr:colOff>505945</xdr:colOff>
      <xdr:row>4</xdr:row>
      <xdr:rowOff>9525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DFCF7E56-8137-4CAE-8A0B-5E92789067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14007</xdr:rowOff>
    </xdr:from>
    <xdr:to>
      <xdr:col>5</xdr:col>
      <xdr:colOff>100853</xdr:colOff>
      <xdr:row>4</xdr:row>
      <xdr:rowOff>23532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7990E11D-762D-4A34-BE12-914CDBF19B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606798</xdr:colOff>
      <xdr:row>0</xdr:row>
      <xdr:rowOff>0</xdr:rowOff>
    </xdr:from>
    <xdr:to>
      <xdr:col>13</xdr:col>
      <xdr:colOff>301999</xdr:colOff>
      <xdr:row>4</xdr:row>
      <xdr:rowOff>9525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6F97EFC3-260A-4465-BBE4-11C1444431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7F91F-2F7A-4C69-A70F-81C8485DC322}">
  <sheetPr codeName="Arkusz2"/>
  <dimension ref="A1:V9"/>
  <sheetViews>
    <sheetView tabSelected="1" workbookViewId="0">
      <selection activeCell="L14" sqref="L14"/>
    </sheetView>
  </sheetViews>
  <sheetFormatPr defaultRowHeight="15" x14ac:dyDescent="0.25"/>
  <cols>
    <col min="1" max="1" width="15.85546875" customWidth="1"/>
  </cols>
  <sheetData>
    <row r="1" spans="1:22" s="36" customFormat="1" x14ac:dyDescent="0.25">
      <c r="A1" s="36" t="s">
        <v>45</v>
      </c>
      <c r="B1" s="36">
        <f>MAX(B3:W3)</f>
        <v>3</v>
      </c>
    </row>
    <row r="2" spans="1:22" s="36" customFormat="1" x14ac:dyDescent="0.25"/>
    <row r="3" spans="1:22" s="37" customFormat="1" x14ac:dyDescent="0.25">
      <c r="A3" s="37" t="s">
        <v>54</v>
      </c>
      <c r="B3" s="37">
        <v>1</v>
      </c>
      <c r="C3" s="37">
        <f>IF(OR(C4&lt;&gt;"",C5&lt;&gt;""),B3+1,"")</f>
        <v>2</v>
      </c>
      <c r="D3" s="37">
        <f t="shared" ref="D3" si="0">IF(OR(D4&lt;&gt;"",D5&lt;&gt;""),C3+1,"")</f>
        <v>3</v>
      </c>
      <c r="E3" s="37" t="str">
        <f t="shared" ref="E3" si="1">IF(OR(E4&lt;&gt;"",E5&lt;&gt;""),D3+1,"")</f>
        <v/>
      </c>
      <c r="F3" s="37" t="str">
        <f t="shared" ref="F3" si="2">IF(OR(F4&lt;&gt;"",F5&lt;&gt;""),E3+1,"")</f>
        <v/>
      </c>
      <c r="G3" s="37" t="str">
        <f t="shared" ref="G3" si="3">IF(OR(G4&lt;&gt;"",G5&lt;&gt;""),F3+1,"")</f>
        <v/>
      </c>
      <c r="H3" s="37" t="str">
        <f t="shared" ref="H3" si="4">IF(OR(H4&lt;&gt;"",H5&lt;&gt;""),G3+1,"")</f>
        <v/>
      </c>
      <c r="I3" s="37" t="str">
        <f t="shared" ref="I3" si="5">IF(OR(I4&lt;&gt;"",I5&lt;&gt;""),H3+1,"")</f>
        <v/>
      </c>
      <c r="J3" s="37" t="str">
        <f t="shared" ref="J3" si="6">IF(OR(J4&lt;&gt;"",J5&lt;&gt;""),I3+1,"")</f>
        <v/>
      </c>
      <c r="K3" s="37" t="str">
        <f t="shared" ref="K3" si="7">IF(OR(K4&lt;&gt;"",K5&lt;&gt;""),J3+1,"")</f>
        <v/>
      </c>
      <c r="L3" s="37" t="str">
        <f t="shared" ref="L3" si="8">IF(OR(L4&lt;&gt;"",L5&lt;&gt;""),K3+1,"")</f>
        <v/>
      </c>
      <c r="M3" s="37" t="str">
        <f t="shared" ref="M3" si="9">IF(OR(M4&lt;&gt;"",M5&lt;&gt;""),L3+1,"")</f>
        <v/>
      </c>
      <c r="N3" s="37" t="str">
        <f t="shared" ref="N3" si="10">IF(OR(N4&lt;&gt;"",N5&lt;&gt;""),M3+1,"")</f>
        <v/>
      </c>
      <c r="O3" s="37" t="str">
        <f t="shared" ref="O3" si="11">IF(OR(O4&lt;&gt;"",O5&lt;&gt;""),N3+1,"")</f>
        <v/>
      </c>
      <c r="P3" s="37" t="str">
        <f t="shared" ref="P3" si="12">IF(OR(P4&lt;&gt;"",P5&lt;&gt;""),O3+1,"")</f>
        <v/>
      </c>
      <c r="Q3" s="37" t="str">
        <f t="shared" ref="Q3" si="13">IF(OR(Q4&lt;&gt;"",Q5&lt;&gt;""),P3+1,"")</f>
        <v/>
      </c>
      <c r="R3" s="37" t="str">
        <f t="shared" ref="R3" si="14">IF(OR(R4&lt;&gt;"",R5&lt;&gt;""),Q3+1,"")</f>
        <v/>
      </c>
      <c r="S3" s="37" t="str">
        <f t="shared" ref="S3" si="15">IF(OR(S4&lt;&gt;"",S5&lt;&gt;""),R3+1,"")</f>
        <v/>
      </c>
      <c r="T3" s="37" t="str">
        <f t="shared" ref="T3" si="16">IF(OR(T4&lt;&gt;"",T5&lt;&gt;""),S3+1,"")</f>
        <v/>
      </c>
      <c r="U3" s="37" t="str">
        <f t="shared" ref="U3" si="17">IF(OR(U4&lt;&gt;"",U5&lt;&gt;""),T3+1,"")</f>
        <v/>
      </c>
      <c r="V3" s="37" t="str">
        <f t="shared" ref="V3" si="18">IF(OR(V4&lt;&gt;"",V5&lt;&gt;""),U3+1,"")</f>
        <v/>
      </c>
    </row>
    <row r="4" spans="1:22" s="5" customFormat="1" x14ac:dyDescent="0.25">
      <c r="A4" s="38" t="s">
        <v>0</v>
      </c>
      <c r="B4" s="5">
        <v>0</v>
      </c>
      <c r="C4" s="5">
        <v>10</v>
      </c>
      <c r="D4" s="5">
        <v>20</v>
      </c>
    </row>
    <row r="5" spans="1:22" s="5" customFormat="1" x14ac:dyDescent="0.25">
      <c r="A5" s="38" t="s">
        <v>1</v>
      </c>
      <c r="B5" s="5">
        <v>0</v>
      </c>
      <c r="C5" s="5">
        <v>10</v>
      </c>
      <c r="D5" s="5">
        <v>10</v>
      </c>
    </row>
    <row r="7" spans="1:22" x14ac:dyDescent="0.25">
      <c r="A7" t="s">
        <v>141</v>
      </c>
    </row>
    <row r="9" spans="1:22" x14ac:dyDescent="0.25">
      <c r="A9" t="s">
        <v>140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98CB7-6D98-4834-8DC9-5BDCDF1947F2}">
  <sheetPr codeName="Arkusz3"/>
  <dimension ref="A1:V15"/>
  <sheetViews>
    <sheetView zoomScaleNormal="100" workbookViewId="0">
      <selection activeCell="G9" sqref="G9"/>
    </sheetView>
  </sheetViews>
  <sheetFormatPr defaultRowHeight="15" x14ac:dyDescent="0.25"/>
  <cols>
    <col min="1" max="1" width="26.5703125" customWidth="1"/>
    <col min="3" max="3" width="9.42578125" bestFit="1" customWidth="1"/>
  </cols>
  <sheetData>
    <row r="1" spans="1:22" s="36" customFormat="1" x14ac:dyDescent="0.25">
      <c r="A1" s="36" t="s">
        <v>46</v>
      </c>
      <c r="B1" s="36">
        <f>MAX(B3:V3)</f>
        <v>2</v>
      </c>
    </row>
    <row r="2" spans="1:22" s="36" customFormat="1" x14ac:dyDescent="0.25"/>
    <row r="3" spans="1:22" s="42" customFormat="1" x14ac:dyDescent="0.25">
      <c r="A3" s="42" t="s">
        <v>83</v>
      </c>
      <c r="B3" s="42">
        <v>1</v>
      </c>
      <c r="C3" s="42">
        <f>IF(OR(C5&lt;&gt;"",C6&lt;&gt;""),B3+1,"")</f>
        <v>2</v>
      </c>
      <c r="D3" s="42" t="str">
        <f t="shared" ref="D3:V3" si="0">IF(OR(D5&lt;&gt;"",D6&lt;&gt;""),C3+1,"")</f>
        <v/>
      </c>
      <c r="E3" s="42" t="str">
        <f t="shared" si="0"/>
        <v/>
      </c>
      <c r="F3" s="42" t="str">
        <f t="shared" si="0"/>
        <v/>
      </c>
      <c r="G3" s="42" t="str">
        <f t="shared" si="0"/>
        <v/>
      </c>
      <c r="H3" s="42" t="str">
        <f t="shared" si="0"/>
        <v/>
      </c>
      <c r="I3" s="42" t="str">
        <f t="shared" si="0"/>
        <v/>
      </c>
      <c r="J3" s="42" t="str">
        <f t="shared" si="0"/>
        <v/>
      </c>
      <c r="K3" s="42" t="str">
        <f t="shared" si="0"/>
        <v/>
      </c>
      <c r="L3" s="42" t="str">
        <f t="shared" si="0"/>
        <v/>
      </c>
      <c r="M3" s="42" t="str">
        <f t="shared" si="0"/>
        <v/>
      </c>
      <c r="N3" s="42" t="str">
        <f t="shared" si="0"/>
        <v/>
      </c>
      <c r="O3" s="42" t="str">
        <f t="shared" si="0"/>
        <v/>
      </c>
      <c r="P3" s="42" t="str">
        <f t="shared" si="0"/>
        <v/>
      </c>
      <c r="Q3" s="42" t="str">
        <f t="shared" si="0"/>
        <v/>
      </c>
      <c r="R3" s="42" t="str">
        <f t="shared" si="0"/>
        <v/>
      </c>
      <c r="S3" s="42" t="str">
        <f t="shared" si="0"/>
        <v/>
      </c>
      <c r="T3" s="42" t="str">
        <f t="shared" si="0"/>
        <v/>
      </c>
      <c r="U3" s="42" t="str">
        <f t="shared" si="0"/>
        <v/>
      </c>
      <c r="V3" s="42" t="str">
        <f t="shared" si="0"/>
        <v/>
      </c>
    </row>
    <row r="4" spans="1:22" s="4" customFormat="1" x14ac:dyDescent="0.25">
      <c r="A4" s="43"/>
    </row>
    <row r="5" spans="1:22" s="44" customFormat="1" x14ac:dyDescent="0.25">
      <c r="A5" s="42" t="s">
        <v>48</v>
      </c>
      <c r="B5" s="44">
        <v>1</v>
      </c>
      <c r="C5" s="44">
        <v>2</v>
      </c>
    </row>
    <row r="6" spans="1:22" s="44" customFormat="1" x14ac:dyDescent="0.25">
      <c r="A6" s="42" t="s">
        <v>49</v>
      </c>
      <c r="B6" s="44">
        <v>2</v>
      </c>
      <c r="C6" s="44">
        <v>3</v>
      </c>
    </row>
    <row r="7" spans="1:22" s="46" customFormat="1" x14ac:dyDescent="0.25">
      <c r="A7" s="45" t="s">
        <v>50</v>
      </c>
      <c r="B7" s="46" t="s">
        <v>93</v>
      </c>
      <c r="C7" s="46" t="s">
        <v>93</v>
      </c>
    </row>
    <row r="8" spans="1:22" s="46" customFormat="1" x14ac:dyDescent="0.25">
      <c r="A8" s="45"/>
    </row>
    <row r="9" spans="1:22" s="5" customFormat="1" x14ac:dyDescent="0.25">
      <c r="A9" s="47" t="s">
        <v>116</v>
      </c>
      <c r="B9" s="5" t="s">
        <v>51</v>
      </c>
      <c r="C9" s="5" t="s">
        <v>44</v>
      </c>
    </row>
    <row r="10" spans="1:22" s="5" customFormat="1" x14ac:dyDescent="0.25">
      <c r="A10" s="47" t="s">
        <v>115</v>
      </c>
      <c r="B10" s="5" t="s">
        <v>44</v>
      </c>
      <c r="C10" s="5" t="s">
        <v>51</v>
      </c>
    </row>
    <row r="11" spans="1:22" s="3" customFormat="1" x14ac:dyDescent="0.25">
      <c r="A11" s="39"/>
    </row>
    <row r="12" spans="1:22" x14ac:dyDescent="0.25">
      <c r="A12" t="s">
        <v>81</v>
      </c>
    </row>
    <row r="13" spans="1:22" x14ac:dyDescent="0.25">
      <c r="A13" t="s">
        <v>135</v>
      </c>
    </row>
    <row r="14" spans="1:22" x14ac:dyDescent="0.25">
      <c r="A14" t="s">
        <v>136</v>
      </c>
      <c r="B14" s="1"/>
    </row>
    <row r="15" spans="1:22" x14ac:dyDescent="0.25">
      <c r="B15" s="1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8789312-1BCF-49BE-8CA2-8C4015C2EDA2}">
          <x14:formula1>
            <xm:f>Sections!$A$2:$A$19</xm:f>
          </x14:formula1>
          <xm:sqref>B7:T7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2528F-2AE0-44F1-97A7-7C39D2783184}">
  <sheetPr codeName="Arkusz18"/>
  <dimension ref="A1:D18"/>
  <sheetViews>
    <sheetView workbookViewId="0">
      <selection activeCell="F13" sqref="F13"/>
    </sheetView>
  </sheetViews>
  <sheetFormatPr defaultRowHeight="15" x14ac:dyDescent="0.25"/>
  <cols>
    <col min="1" max="1" width="9.140625" style="53"/>
    <col min="2" max="2" width="12.85546875" style="52" customWidth="1"/>
    <col min="3" max="3" width="12.85546875" style="54" customWidth="1"/>
    <col min="4" max="4" width="9.140625" style="52"/>
    <col min="5" max="16384" width="9.140625" style="23"/>
  </cols>
  <sheetData>
    <row r="1" spans="1:4" s="40" customFormat="1" x14ac:dyDescent="0.25">
      <c r="A1" s="48" t="s">
        <v>101</v>
      </c>
      <c r="B1" s="48" t="s">
        <v>102</v>
      </c>
      <c r="C1" s="48" t="s">
        <v>103</v>
      </c>
      <c r="D1" s="48" t="s">
        <v>2</v>
      </c>
    </row>
    <row r="2" spans="1:4" x14ac:dyDescent="0.25">
      <c r="A2" s="49" t="s">
        <v>84</v>
      </c>
      <c r="B2" s="50">
        <v>10.3</v>
      </c>
      <c r="C2" s="51">
        <v>171</v>
      </c>
      <c r="D2" s="52">
        <v>210</v>
      </c>
    </row>
    <row r="3" spans="1:4" x14ac:dyDescent="0.25">
      <c r="A3" s="49" t="s">
        <v>85</v>
      </c>
      <c r="B3" s="50">
        <v>13.2</v>
      </c>
      <c r="C3" s="51">
        <v>318</v>
      </c>
      <c r="D3" s="52">
        <v>210</v>
      </c>
    </row>
    <row r="4" spans="1:4" x14ac:dyDescent="0.25">
      <c r="A4" s="49" t="s">
        <v>86</v>
      </c>
      <c r="B4" s="50">
        <v>16.399999999999999</v>
      </c>
      <c r="C4" s="51">
        <v>541</v>
      </c>
      <c r="D4" s="52">
        <v>210</v>
      </c>
    </row>
    <row r="5" spans="1:4" x14ac:dyDescent="0.25">
      <c r="A5" s="49" t="s">
        <v>87</v>
      </c>
      <c r="B5" s="50">
        <v>20.100000000000001</v>
      </c>
      <c r="C5" s="51">
        <v>869</v>
      </c>
      <c r="D5" s="52">
        <v>210</v>
      </c>
    </row>
    <row r="6" spans="1:4" x14ac:dyDescent="0.25">
      <c r="A6" s="49" t="s">
        <v>88</v>
      </c>
      <c r="B6" s="50">
        <v>23.9</v>
      </c>
      <c r="C6" s="51">
        <v>1320</v>
      </c>
      <c r="D6" s="52">
        <v>210</v>
      </c>
    </row>
    <row r="7" spans="1:4" x14ac:dyDescent="0.25">
      <c r="A7" s="49" t="s">
        <v>89</v>
      </c>
      <c r="B7" s="50">
        <v>28.5</v>
      </c>
      <c r="C7" s="51">
        <v>1940</v>
      </c>
      <c r="D7" s="52">
        <v>210</v>
      </c>
    </row>
    <row r="8" spans="1:4" x14ac:dyDescent="0.25">
      <c r="A8" s="49" t="s">
        <v>90</v>
      </c>
      <c r="B8" s="50">
        <v>33.4</v>
      </c>
      <c r="C8" s="51">
        <v>2770</v>
      </c>
      <c r="D8" s="52">
        <v>210</v>
      </c>
    </row>
    <row r="9" spans="1:4" x14ac:dyDescent="0.25">
      <c r="A9" s="49" t="s">
        <v>91</v>
      </c>
      <c r="B9" s="50">
        <v>39.1</v>
      </c>
      <c r="C9" s="51">
        <v>3890</v>
      </c>
      <c r="D9" s="52">
        <v>210</v>
      </c>
    </row>
    <row r="10" spans="1:4" x14ac:dyDescent="0.25">
      <c r="A10" s="49" t="s">
        <v>92</v>
      </c>
      <c r="B10" s="50">
        <v>45.9</v>
      </c>
      <c r="C10" s="51">
        <v>5790</v>
      </c>
      <c r="D10" s="52">
        <v>210</v>
      </c>
    </row>
    <row r="11" spans="1:4" x14ac:dyDescent="0.25">
      <c r="A11" s="49" t="s">
        <v>93</v>
      </c>
      <c r="B11" s="50">
        <v>53.8</v>
      </c>
      <c r="C11" s="51">
        <v>8360</v>
      </c>
      <c r="D11" s="52">
        <v>210</v>
      </c>
    </row>
    <row r="12" spans="1:4" x14ac:dyDescent="0.25">
      <c r="A12" s="49" t="s">
        <v>94</v>
      </c>
      <c r="B12" s="50">
        <v>62.6</v>
      </c>
      <c r="C12" s="51">
        <v>11770</v>
      </c>
      <c r="D12" s="52">
        <v>210</v>
      </c>
    </row>
    <row r="13" spans="1:4" x14ac:dyDescent="0.25">
      <c r="A13" s="49" t="s">
        <v>95</v>
      </c>
      <c r="B13" s="50">
        <v>72.7</v>
      </c>
      <c r="C13" s="51">
        <v>16270</v>
      </c>
      <c r="D13" s="52">
        <v>210</v>
      </c>
    </row>
    <row r="14" spans="1:4" x14ac:dyDescent="0.25">
      <c r="A14" s="49" t="s">
        <v>96</v>
      </c>
      <c r="B14" s="50">
        <v>84.5</v>
      </c>
      <c r="C14" s="51">
        <v>23130</v>
      </c>
      <c r="D14" s="52">
        <v>210</v>
      </c>
    </row>
    <row r="15" spans="1:4" x14ac:dyDescent="0.25">
      <c r="A15" s="49" t="s">
        <v>97</v>
      </c>
      <c r="B15" s="50">
        <v>98.8</v>
      </c>
      <c r="C15" s="51">
        <v>33740</v>
      </c>
      <c r="D15" s="52">
        <v>210</v>
      </c>
    </row>
    <row r="16" spans="1:4" x14ac:dyDescent="0.25">
      <c r="A16" s="49" t="s">
        <v>98</v>
      </c>
      <c r="B16" s="50">
        <v>116</v>
      </c>
      <c r="C16" s="51">
        <v>48200</v>
      </c>
      <c r="D16" s="52">
        <v>210</v>
      </c>
    </row>
    <row r="17" spans="1:4" x14ac:dyDescent="0.25">
      <c r="A17" s="49" t="s">
        <v>99</v>
      </c>
      <c r="B17" s="50">
        <v>134</v>
      </c>
      <c r="C17" s="51">
        <v>67120</v>
      </c>
      <c r="D17" s="52">
        <v>210</v>
      </c>
    </row>
    <row r="18" spans="1:4" x14ac:dyDescent="0.25">
      <c r="A18" s="49" t="s">
        <v>100</v>
      </c>
      <c r="B18" s="50">
        <v>156</v>
      </c>
      <c r="C18" s="51">
        <v>92080</v>
      </c>
      <c r="D18" s="52">
        <v>210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1E6D9-1F2D-4BB1-AA98-D4855C8BA57F}">
  <sheetPr codeName="Arkusz4"/>
  <dimension ref="A1:Z13"/>
  <sheetViews>
    <sheetView workbookViewId="0">
      <selection activeCell="F13" sqref="F13"/>
    </sheetView>
  </sheetViews>
  <sheetFormatPr defaultRowHeight="15" x14ac:dyDescent="0.25"/>
  <cols>
    <col min="1" max="1" width="26.5703125" customWidth="1"/>
  </cols>
  <sheetData>
    <row r="1" spans="1:26" s="36" customFormat="1" x14ac:dyDescent="0.25">
      <c r="A1" s="36" t="s">
        <v>52</v>
      </c>
      <c r="B1" s="36">
        <f>MAX(B3:W3)</f>
        <v>2</v>
      </c>
    </row>
    <row r="2" spans="1:26" s="36" customFormat="1" x14ac:dyDescent="0.25"/>
    <row r="3" spans="1:26" s="37" customFormat="1" x14ac:dyDescent="0.25">
      <c r="A3" s="42" t="s">
        <v>53</v>
      </c>
      <c r="B3" s="37">
        <v>1</v>
      </c>
      <c r="C3" s="37">
        <f>IF(C4&lt;&gt;"",B3+1,"")</f>
        <v>2</v>
      </c>
      <c r="D3" s="37" t="str">
        <f>IF(D4&lt;&gt;"",C3+1,"")</f>
        <v/>
      </c>
      <c r="E3" s="37" t="str">
        <f t="shared" ref="E3:W3" si="0">IF(E4&lt;&gt;"",D3+1,"")</f>
        <v/>
      </c>
      <c r="F3" s="37" t="str">
        <f t="shared" si="0"/>
        <v/>
      </c>
      <c r="G3" s="37" t="str">
        <f t="shared" si="0"/>
        <v/>
      </c>
      <c r="H3" s="37" t="str">
        <f t="shared" si="0"/>
        <v/>
      </c>
      <c r="I3" s="37" t="str">
        <f t="shared" si="0"/>
        <v/>
      </c>
      <c r="J3" s="37" t="str">
        <f t="shared" si="0"/>
        <v/>
      </c>
      <c r="K3" s="37" t="str">
        <f t="shared" si="0"/>
        <v/>
      </c>
      <c r="L3" s="37" t="str">
        <f t="shared" si="0"/>
        <v/>
      </c>
      <c r="M3" s="37" t="str">
        <f t="shared" si="0"/>
        <v/>
      </c>
      <c r="N3" s="37" t="str">
        <f t="shared" si="0"/>
        <v/>
      </c>
      <c r="O3" s="37" t="str">
        <f t="shared" si="0"/>
        <v/>
      </c>
      <c r="P3" s="37" t="str">
        <f t="shared" si="0"/>
        <v/>
      </c>
      <c r="Q3" s="37" t="str">
        <f t="shared" si="0"/>
        <v/>
      </c>
      <c r="R3" s="37" t="str">
        <f t="shared" si="0"/>
        <v/>
      </c>
      <c r="S3" s="37" t="str">
        <f t="shared" si="0"/>
        <v/>
      </c>
      <c r="T3" s="37" t="str">
        <f t="shared" si="0"/>
        <v/>
      </c>
      <c r="U3" s="37" t="str">
        <f t="shared" si="0"/>
        <v/>
      </c>
      <c r="V3" s="37" t="str">
        <f t="shared" si="0"/>
        <v/>
      </c>
      <c r="W3" s="37" t="str">
        <f t="shared" si="0"/>
        <v/>
      </c>
      <c r="X3" s="37" t="str">
        <f>IF(Nodes!X3&lt;&gt;0,Nodes!X3,"")</f>
        <v/>
      </c>
      <c r="Y3" s="37" t="str">
        <f>IF(Nodes!Y3&lt;&gt;0,Nodes!Y3,"")</f>
        <v/>
      </c>
      <c r="Z3" s="37" t="str">
        <f>IF(Nodes!Z3&lt;&gt;0,Nodes!Z3,"")</f>
        <v/>
      </c>
    </row>
    <row r="4" spans="1:26" s="4" customFormat="1" x14ac:dyDescent="0.25">
      <c r="A4" s="37" t="s">
        <v>54</v>
      </c>
      <c r="B4" s="4">
        <v>1</v>
      </c>
      <c r="C4" s="4">
        <v>2</v>
      </c>
    </row>
    <row r="5" spans="1:26" s="4" customFormat="1" x14ac:dyDescent="0.25">
      <c r="A5" s="37" t="s">
        <v>55</v>
      </c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"/>
      <c r="Q5" s="5"/>
      <c r="R5" s="5"/>
      <c r="S5" s="5"/>
    </row>
    <row r="6" spans="1:26" s="4" customFormat="1" x14ac:dyDescent="0.25">
      <c r="A6" s="37" t="s">
        <v>82</v>
      </c>
      <c r="B6" s="55" t="s">
        <v>44</v>
      </c>
      <c r="C6" s="55" t="s">
        <v>44</v>
      </c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"/>
      <c r="Q6" s="5"/>
      <c r="R6" s="5"/>
      <c r="S6" s="5"/>
    </row>
    <row r="7" spans="1:26" s="4" customFormat="1" x14ac:dyDescent="0.25">
      <c r="A7" s="37" t="s">
        <v>43</v>
      </c>
      <c r="B7" s="55" t="s">
        <v>51</v>
      </c>
      <c r="C7" s="55" t="s">
        <v>51</v>
      </c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"/>
      <c r="Q7" s="5"/>
      <c r="R7" s="5"/>
      <c r="S7" s="5"/>
    </row>
    <row r="8" spans="1:26" s="4" customFormat="1" x14ac:dyDescent="0.25">
      <c r="A8" s="37" t="s">
        <v>42</v>
      </c>
      <c r="B8" s="55" t="s">
        <v>51</v>
      </c>
      <c r="C8" s="55" t="s">
        <v>51</v>
      </c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"/>
      <c r="Q8" s="5"/>
      <c r="R8" s="5"/>
      <c r="S8" s="5"/>
    </row>
    <row r="10" spans="1:26" x14ac:dyDescent="0.25">
      <c r="A10" t="s">
        <v>81</v>
      </c>
    </row>
    <row r="11" spans="1:26" x14ac:dyDescent="0.25">
      <c r="A11" t="s">
        <v>118</v>
      </c>
      <c r="B11" s="1"/>
    </row>
    <row r="12" spans="1:26" x14ac:dyDescent="0.25">
      <c r="A12" t="s">
        <v>117</v>
      </c>
      <c r="B12" s="1"/>
    </row>
    <row r="13" spans="1:26" x14ac:dyDescent="0.25">
      <c r="B13" s="1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879E1-9A51-4E04-A4C1-DA6D18647F8A}">
  <sheetPr codeName="Arkusz5"/>
  <dimension ref="A1:V5"/>
  <sheetViews>
    <sheetView zoomScaleNormal="100" workbookViewId="0">
      <selection activeCell="D7" sqref="D7"/>
    </sheetView>
  </sheetViews>
  <sheetFormatPr defaultRowHeight="15" x14ac:dyDescent="0.25"/>
  <cols>
    <col min="1" max="1" width="26.5703125" customWidth="1"/>
  </cols>
  <sheetData>
    <row r="1" spans="1:22" s="37" customFormat="1" x14ac:dyDescent="0.25">
      <c r="A1" s="37" t="str">
        <f>Members!A3</f>
        <v>element</v>
      </c>
      <c r="B1" s="37">
        <f>IF(Members!B3&lt;&gt;"",Members!B3,"")</f>
        <v>1</v>
      </c>
      <c r="C1" s="37">
        <f>IF(Members!C3&lt;&gt;"",Members!C3,"")</f>
        <v>2</v>
      </c>
      <c r="D1" s="37" t="str">
        <f>IF(Members!D3&lt;&gt;"",Members!D3,"")</f>
        <v/>
      </c>
      <c r="E1" s="37" t="str">
        <f>IF(Members!E3&lt;&gt;"",Members!E3,"")</f>
        <v/>
      </c>
      <c r="F1" s="37" t="str">
        <f>IF(Members!F3&lt;&gt;"",Members!F3,"")</f>
        <v/>
      </c>
      <c r="G1" s="37" t="str">
        <f>IF(Members!G3&lt;&gt;"",Members!G3,"")</f>
        <v/>
      </c>
      <c r="H1" s="37" t="str">
        <f>IF(Members!H3&lt;&gt;"",Members!H3,"")</f>
        <v/>
      </c>
      <c r="I1" s="37" t="str">
        <f>IF(Members!I3&lt;&gt;"",Members!I3,"")</f>
        <v/>
      </c>
      <c r="J1" s="37" t="str">
        <f>IF(Members!J3&lt;&gt;"",Members!J3,"")</f>
        <v/>
      </c>
      <c r="K1" s="37" t="str">
        <f>IF(Members!K3&lt;&gt;"",Members!K3,"")</f>
        <v/>
      </c>
      <c r="L1" s="37" t="str">
        <f>IF(Members!L3&lt;&gt;"",Members!L3,"")</f>
        <v/>
      </c>
      <c r="M1" s="37" t="str">
        <f>IF(Members!M3&lt;&gt;"",Members!M3,"")</f>
        <v/>
      </c>
      <c r="N1" s="37" t="str">
        <f>IF(Members!N3&lt;&gt;"",Members!N3,"")</f>
        <v/>
      </c>
      <c r="O1" s="37" t="str">
        <f>IF(Members!O3&lt;&gt;"",Members!O3,"")</f>
        <v/>
      </c>
      <c r="P1" s="37" t="str">
        <f>IF(Members!P3&lt;&gt;"",Members!P3,"")</f>
        <v/>
      </c>
      <c r="Q1" s="37" t="str">
        <f>IF(Members!Q3&lt;&gt;"",Members!Q3,"")</f>
        <v/>
      </c>
      <c r="R1" s="37" t="str">
        <f>IF(Members!R3&lt;&gt;"",Members!R3,"")</f>
        <v/>
      </c>
      <c r="S1" s="37" t="str">
        <f>IF(Members!S3&lt;&gt;"",Members!S3,"")</f>
        <v/>
      </c>
      <c r="T1" s="37" t="str">
        <f>IF(Members!T3&lt;&gt;"",Members!T3,"")</f>
        <v/>
      </c>
      <c r="U1" s="37" t="str">
        <f>IF(Members!U3&lt;&gt;"",Members!U3,"")</f>
        <v/>
      </c>
      <c r="V1" s="37" t="str">
        <f>IF(Members!V3&lt;&gt;"",Members!V3,"")</f>
        <v/>
      </c>
    </row>
    <row r="2" spans="1:22" s="4" customFormat="1" x14ac:dyDescent="0.25">
      <c r="A2" s="37" t="s">
        <v>3</v>
      </c>
      <c r="B2" s="4">
        <v>-10</v>
      </c>
      <c r="C2" s="4">
        <v>-10</v>
      </c>
    </row>
    <row r="4" spans="1:22" x14ac:dyDescent="0.25">
      <c r="A4" t="s">
        <v>81</v>
      </c>
    </row>
    <row r="5" spans="1:22" x14ac:dyDescent="0.25">
      <c r="A5" t="s">
        <v>138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7B3D1-6C8C-4108-93A5-A3FEE828497C}">
  <sheetPr codeName="Arkusz6"/>
  <dimension ref="A1:V6"/>
  <sheetViews>
    <sheetView workbookViewId="0">
      <selection activeCell="F8" sqref="F8"/>
    </sheetView>
  </sheetViews>
  <sheetFormatPr defaultRowHeight="15" x14ac:dyDescent="0.25"/>
  <cols>
    <col min="1" max="1" width="15.85546875" customWidth="1"/>
  </cols>
  <sheetData>
    <row r="1" spans="1:22" s="37" customFormat="1" x14ac:dyDescent="0.25">
      <c r="A1" s="37" t="str">
        <f>Nodes!A3</f>
        <v>node</v>
      </c>
      <c r="B1" s="37">
        <f>IF(Nodes!B3&lt;&gt;0,Nodes!B3,"")</f>
        <v>1</v>
      </c>
      <c r="C1" s="37">
        <f>IF(Nodes!C3&lt;&gt;0,Nodes!C3,"")</f>
        <v>2</v>
      </c>
      <c r="D1" s="37">
        <f>IF(Nodes!D3&lt;&gt;0,Nodes!D3,"")</f>
        <v>3</v>
      </c>
      <c r="E1" s="37" t="str">
        <f>IF(Nodes!E3&lt;&gt;0,Nodes!E3,"")</f>
        <v/>
      </c>
      <c r="F1" s="37" t="str">
        <f>IF(Nodes!F3&lt;&gt;0,Nodes!F3,"")</f>
        <v/>
      </c>
      <c r="G1" s="37" t="str">
        <f>IF(Nodes!G3&lt;&gt;0,Nodes!G3,"")</f>
        <v/>
      </c>
      <c r="H1" s="37" t="str">
        <f>IF(Nodes!H3&lt;&gt;0,Nodes!H3,"")</f>
        <v/>
      </c>
      <c r="I1" s="37" t="str">
        <f>IF(Nodes!I3&lt;&gt;0,Nodes!I3,"")</f>
        <v/>
      </c>
      <c r="J1" s="37" t="str">
        <f>IF(Nodes!J3&lt;&gt;0,Nodes!J3,"")</f>
        <v/>
      </c>
      <c r="K1" s="37" t="str">
        <f>IF(Nodes!K3&lt;&gt;0,Nodes!K3,"")</f>
        <v/>
      </c>
      <c r="L1" s="37" t="str">
        <f>IF(Nodes!L3&lt;&gt;0,Nodes!L3,"")</f>
        <v/>
      </c>
      <c r="M1" s="37" t="str">
        <f>IF(Nodes!M3&lt;&gt;0,Nodes!M3,"")</f>
        <v/>
      </c>
      <c r="N1" s="37" t="str">
        <f>IF(Nodes!N3&lt;&gt;0,Nodes!N3,"")</f>
        <v/>
      </c>
      <c r="O1" s="37" t="str">
        <f>IF(Nodes!O3&lt;&gt;0,Nodes!O3,"")</f>
        <v/>
      </c>
      <c r="P1" s="37" t="str">
        <f>IF(Nodes!P3&lt;&gt;0,Nodes!P3,"")</f>
        <v/>
      </c>
      <c r="Q1" s="37" t="str">
        <f>IF(Nodes!Q3&lt;&gt;0,Nodes!Q3,"")</f>
        <v/>
      </c>
      <c r="R1" s="37" t="str">
        <f>IF(Nodes!R3&lt;&gt;0,Nodes!R3,"")</f>
        <v/>
      </c>
      <c r="S1" s="37" t="str">
        <f>IF(Nodes!S3&lt;&gt;0,Nodes!S3,"")</f>
        <v/>
      </c>
      <c r="T1" s="37" t="str">
        <f>IF(Nodes!T3&lt;&gt;0,Nodes!T3,"")</f>
        <v/>
      </c>
      <c r="U1" s="37" t="str">
        <f>IF(Nodes!U3&lt;&gt;0,Nodes!U3,"")</f>
        <v/>
      </c>
      <c r="V1" s="37" t="str">
        <f>IF(Nodes!V3&lt;&gt;0,Nodes!V3,"")</f>
        <v/>
      </c>
    </row>
    <row r="2" spans="1:22" s="4" customFormat="1" x14ac:dyDescent="0.25">
      <c r="A2" s="37" t="s">
        <v>5</v>
      </c>
      <c r="B2" s="4">
        <v>0</v>
      </c>
      <c r="C2" s="4">
        <v>0</v>
      </c>
      <c r="D2" s="4">
        <v>0</v>
      </c>
    </row>
    <row r="3" spans="1:22" s="4" customFormat="1" x14ac:dyDescent="0.25">
      <c r="A3" s="37" t="s">
        <v>4</v>
      </c>
      <c r="B3" s="4">
        <v>0</v>
      </c>
      <c r="C3" s="4">
        <v>0</v>
      </c>
      <c r="D3" s="4">
        <v>0</v>
      </c>
    </row>
    <row r="5" spans="1:22" x14ac:dyDescent="0.25">
      <c r="A5" t="s">
        <v>81</v>
      </c>
    </row>
    <row r="6" spans="1:22" x14ac:dyDescent="0.25">
      <c r="A6" t="s">
        <v>139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39830-AE1B-49CE-BD16-19C38082C6D7}">
  <sheetPr codeName="Arkusz19"/>
  <dimension ref="A1:J13"/>
  <sheetViews>
    <sheetView zoomScaleNormal="100" workbookViewId="0">
      <pane ySplit="9" topLeftCell="A10" activePane="bottomLeft" state="frozen"/>
      <selection pane="bottomLeft" activeCell="J6" sqref="J6"/>
    </sheetView>
  </sheetViews>
  <sheetFormatPr defaultRowHeight="15" x14ac:dyDescent="0.25"/>
  <cols>
    <col min="1" max="2" width="11.28515625" style="33" customWidth="1"/>
    <col min="3" max="5" width="14.7109375" style="26" customWidth="1"/>
    <col min="6" max="8" width="9.140625" style="2" customWidth="1"/>
    <col min="9" max="16384" width="9.140625" style="2"/>
  </cols>
  <sheetData>
    <row r="1" spans="1:10" s="25" customFormat="1" ht="170.25" customHeight="1" x14ac:dyDescent="0.25">
      <c r="A1" s="31"/>
      <c r="B1" s="31"/>
      <c r="C1" s="29"/>
      <c r="D1" s="29"/>
      <c r="E1" s="29"/>
    </row>
    <row r="2" spans="1:10" ht="15" customHeight="1" x14ac:dyDescent="0.25">
      <c r="A2" s="32"/>
      <c r="B2" s="32"/>
      <c r="C2" s="30"/>
      <c r="D2" s="30"/>
      <c r="E2" s="30"/>
    </row>
    <row r="3" spans="1:10" ht="15" customHeight="1" x14ac:dyDescent="0.25">
      <c r="A3" s="32"/>
      <c r="B3" s="32"/>
      <c r="C3" s="30"/>
      <c r="D3" s="30"/>
      <c r="E3" s="30"/>
    </row>
    <row r="4" spans="1:10" ht="15" customHeight="1" x14ac:dyDescent="0.25">
      <c r="A4" s="32"/>
      <c r="B4" s="32"/>
      <c r="C4" s="30"/>
      <c r="D4" s="30"/>
      <c r="E4" s="30"/>
    </row>
    <row r="5" spans="1:10" ht="15" customHeight="1" x14ac:dyDescent="0.25">
      <c r="A5" s="32"/>
      <c r="B5" s="32"/>
      <c r="C5" s="30"/>
      <c r="D5" s="30"/>
      <c r="E5" s="30"/>
    </row>
    <row r="6" spans="1:10" ht="15" customHeight="1" x14ac:dyDescent="0.3">
      <c r="A6" s="32"/>
      <c r="B6" s="32"/>
      <c r="C6" s="30"/>
      <c r="D6" s="30"/>
      <c r="E6" s="30"/>
      <c r="H6" s="34" t="s">
        <v>134</v>
      </c>
      <c r="J6" s="35">
        <v>1</v>
      </c>
    </row>
    <row r="7" spans="1:10" ht="15" customHeight="1" x14ac:dyDescent="0.25">
      <c r="A7" s="32"/>
      <c r="B7" s="32"/>
      <c r="C7" s="30"/>
      <c r="D7" s="30"/>
      <c r="E7" s="30"/>
    </row>
    <row r="8" spans="1:10" ht="15" customHeight="1" x14ac:dyDescent="0.25">
      <c r="A8" s="32"/>
      <c r="B8" s="32"/>
      <c r="C8" s="30"/>
      <c r="D8" s="30"/>
      <c r="E8" s="30"/>
    </row>
    <row r="9" spans="1:10" x14ac:dyDescent="0.25">
      <c r="A9" s="61" t="s">
        <v>111</v>
      </c>
      <c r="B9" s="61" t="s">
        <v>112</v>
      </c>
      <c r="C9" s="62" t="s">
        <v>114</v>
      </c>
      <c r="D9" s="62" t="s">
        <v>113</v>
      </c>
      <c r="E9" s="62" t="s">
        <v>82</v>
      </c>
    </row>
    <row r="10" spans="1:10" x14ac:dyDescent="0.25">
      <c r="A10" s="33">
        <v>1</v>
      </c>
      <c r="B10" s="33">
        <v>1</v>
      </c>
      <c r="C10" s="26">
        <v>0</v>
      </c>
      <c r="D10" s="26">
        <v>-35.357056129895376</v>
      </c>
      <c r="E10" s="26">
        <v>0</v>
      </c>
    </row>
    <row r="11" spans="1:10" x14ac:dyDescent="0.25">
      <c r="A11" s="33">
        <v>1</v>
      </c>
      <c r="B11" s="33">
        <v>2</v>
      </c>
      <c r="C11" s="26">
        <v>0</v>
      </c>
      <c r="D11" s="26">
        <v>-106.06430010741414</v>
      </c>
      <c r="E11" s="26">
        <v>-499.97571695515194</v>
      </c>
    </row>
    <row r="12" spans="1:10" x14ac:dyDescent="0.25">
      <c r="A12" s="33">
        <v>2</v>
      </c>
      <c r="B12" s="33">
        <v>2</v>
      </c>
      <c r="C12" s="26">
        <v>0</v>
      </c>
      <c r="D12" s="26">
        <v>-100</v>
      </c>
      <c r="E12" s="26">
        <v>499.97571695515177</v>
      </c>
    </row>
    <row r="13" spans="1:10" x14ac:dyDescent="0.25">
      <c r="A13" s="33">
        <v>2</v>
      </c>
      <c r="B13" s="33">
        <v>3</v>
      </c>
      <c r="C13" s="26">
        <v>0</v>
      </c>
      <c r="D13" s="26">
        <v>-7.1054273576010019E-15</v>
      </c>
      <c r="E13" s="26">
        <v>0</v>
      </c>
    </row>
  </sheetData>
  <dataConsolidate/>
  <phoneticPr fontId="6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B5014EA-C0BD-43CD-8574-19834D3F824A}">
          <x14:formula1>
            <xm:f>'Members geometry'!$B$1:$O$1</xm:f>
          </x14:formula1>
          <xm:sqref>J6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AD01D-3340-4508-966D-C5CEEFE27686}">
  <sheetPr codeName="Arkusz23"/>
  <dimension ref="A1:I31"/>
  <sheetViews>
    <sheetView zoomScale="115" zoomScaleNormal="115" workbookViewId="0">
      <selection activeCell="H16" sqref="H16"/>
    </sheetView>
  </sheetViews>
  <sheetFormatPr defaultRowHeight="15" x14ac:dyDescent="0.25"/>
  <cols>
    <col min="1" max="1" width="21.28515625" customWidth="1"/>
    <col min="2" max="8" width="16.85546875" customWidth="1"/>
  </cols>
  <sheetData>
    <row r="1" spans="1:9" x14ac:dyDescent="0.25">
      <c r="A1" s="36" t="s">
        <v>47</v>
      </c>
      <c r="B1" s="36">
        <f>matrix_Ks_elem_glob!B1</f>
        <v>1</v>
      </c>
      <c r="C1" s="36"/>
      <c r="D1" s="36"/>
      <c r="E1" s="36"/>
      <c r="F1" s="36"/>
      <c r="G1" s="36"/>
      <c r="H1" s="36"/>
      <c r="I1" s="36"/>
    </row>
    <row r="2" spans="1:9" x14ac:dyDescent="0.25">
      <c r="A2" s="36"/>
      <c r="B2" s="36"/>
      <c r="C2" s="36"/>
      <c r="D2" s="36"/>
      <c r="E2" s="36"/>
      <c r="F2" s="36"/>
      <c r="G2" s="36"/>
      <c r="H2" s="36"/>
      <c r="I2" s="36"/>
    </row>
    <row r="3" spans="1:9" x14ac:dyDescent="0.25">
      <c r="A3" s="36" t="s">
        <v>122</v>
      </c>
      <c r="B3" s="109">
        <f>qy</f>
        <v>-10</v>
      </c>
      <c r="C3" s="36"/>
      <c r="D3" s="36"/>
      <c r="E3" s="36"/>
      <c r="F3" s="36"/>
      <c r="G3" s="36"/>
      <c r="H3" s="36"/>
      <c r="I3" s="36"/>
    </row>
    <row r="4" spans="1:9" x14ac:dyDescent="0.25">
      <c r="A4" s="36" t="s">
        <v>119</v>
      </c>
      <c r="B4" s="125" cm="1">
        <f t="array" aca="1" ref="B4" ca="1">INDIRECT("vector_q_loc!A"&amp;B1)</f>
        <v>0</v>
      </c>
      <c r="C4" s="36"/>
      <c r="D4" s="36"/>
      <c r="E4" s="36"/>
      <c r="F4" s="36"/>
      <c r="G4" s="36"/>
      <c r="H4" s="36"/>
      <c r="I4" s="36"/>
    </row>
    <row r="5" spans="1:9" x14ac:dyDescent="0.25">
      <c r="A5" s="36" t="s">
        <v>123</v>
      </c>
      <c r="B5" s="125" cm="1">
        <f t="array" aca="1" ref="B5" ca="1">INDIRECT("vector_q_loc!B"&amp;B1)</f>
        <v>0</v>
      </c>
      <c r="C5" s="36"/>
      <c r="D5" s="36"/>
      <c r="E5" s="36"/>
      <c r="F5" s="36"/>
      <c r="G5" s="36"/>
      <c r="H5" s="36"/>
      <c r="I5" s="36"/>
    </row>
    <row r="6" spans="1:9" x14ac:dyDescent="0.25">
      <c r="A6" s="36" t="s">
        <v>120</v>
      </c>
      <c r="B6" s="125" cm="1">
        <f t="array" aca="1" ref="B6" ca="1">INDIRECT("vector_q_loc!D"&amp;B1)</f>
        <v>-6.712192474389489E-2</v>
      </c>
      <c r="C6" s="36"/>
      <c r="D6" s="36"/>
      <c r="E6" s="36"/>
      <c r="F6" s="36"/>
      <c r="G6" s="36"/>
      <c r="H6" s="36"/>
      <c r="I6" s="36"/>
    </row>
    <row r="7" spans="1:9" x14ac:dyDescent="0.25">
      <c r="A7" s="36" t="s">
        <v>121</v>
      </c>
      <c r="B7" s="125" cm="1">
        <f t="array" aca="1" ref="B7" ca="1">INDIRECT("vector_q_loc!E"&amp;B1)</f>
        <v>0</v>
      </c>
      <c r="C7" s="36"/>
      <c r="D7" s="36"/>
      <c r="E7" s="36"/>
      <c r="F7" s="36"/>
      <c r="G7" s="36"/>
      <c r="H7" s="36"/>
      <c r="I7" s="36"/>
    </row>
    <row r="8" spans="1:9" x14ac:dyDescent="0.25">
      <c r="A8" s="36" t="s">
        <v>16</v>
      </c>
      <c r="B8" s="56" t="s">
        <v>37</v>
      </c>
      <c r="C8" s="36" t="str">
        <f>matrix_Ks_elem_loc!B11</f>
        <v>PS</v>
      </c>
      <c r="D8" s="36"/>
      <c r="E8" s="36"/>
      <c r="F8" s="36"/>
      <c r="G8" s="36"/>
      <c r="H8" s="36"/>
      <c r="I8" s="36"/>
    </row>
    <row r="9" spans="1:9" x14ac:dyDescent="0.25">
      <c r="A9" s="36" t="s">
        <v>127</v>
      </c>
      <c r="B9" s="109">
        <v>0</v>
      </c>
      <c r="C9" s="36"/>
      <c r="D9" s="36"/>
      <c r="E9" s="36"/>
      <c r="F9" s="36"/>
      <c r="G9" s="36"/>
      <c r="H9" s="36"/>
      <c r="I9" s="36"/>
    </row>
    <row r="10" spans="1:9" x14ac:dyDescent="0.25">
      <c r="A10" s="36"/>
      <c r="B10" s="36"/>
      <c r="C10" s="36"/>
      <c r="D10" s="36"/>
      <c r="E10" s="36"/>
      <c r="F10" s="36"/>
      <c r="G10" s="36"/>
      <c r="H10" s="36"/>
      <c r="I10" s="36"/>
    </row>
    <row r="11" spans="1:9" s="7" customFormat="1" x14ac:dyDescent="0.25">
      <c r="A11" s="57" t="s">
        <v>124</v>
      </c>
      <c r="B11" s="57"/>
      <c r="C11" s="57" t="s">
        <v>29</v>
      </c>
      <c r="D11" s="57" t="s">
        <v>32</v>
      </c>
      <c r="E11" s="57" t="s">
        <v>37</v>
      </c>
      <c r="F11" s="57" t="s">
        <v>38</v>
      </c>
      <c r="G11" s="57" t="s">
        <v>125</v>
      </c>
      <c r="H11" s="57" t="s">
        <v>133</v>
      </c>
      <c r="I11" s="57"/>
    </row>
    <row r="12" spans="1:9" s="7" customFormat="1" x14ac:dyDescent="0.25">
      <c r="A12" s="57"/>
      <c r="B12" s="57"/>
      <c r="C12" s="57"/>
      <c r="D12" s="57"/>
      <c r="E12" s="57"/>
      <c r="F12" s="57"/>
      <c r="G12" s="57"/>
      <c r="H12" s="57"/>
      <c r="I12" s="57"/>
    </row>
    <row r="13" spans="1:9" x14ac:dyDescent="0.25">
      <c r="A13" s="37" t="s">
        <v>129</v>
      </c>
      <c r="B13" s="58">
        <f ca="1">IF($B$8="SS",C13,IF($B$8="SP",D13,IF($B$8="PS",E13,IF($B$8="PP",F13,IF($B$8="SW",G13,IF($B$8="WS",H13,0))))))</f>
        <v>0</v>
      </c>
      <c r="C13" s="59">
        <f t="shared" ref="C13:F13" ca="1" si="0">wi</f>
        <v>0</v>
      </c>
      <c r="D13" s="58">
        <f t="shared" ca="1" si="0"/>
        <v>0</v>
      </c>
      <c r="E13" s="58">
        <f t="shared" ca="1" si="0"/>
        <v>0</v>
      </c>
      <c r="F13" s="58">
        <f t="shared" ca="1" si="0"/>
        <v>0</v>
      </c>
      <c r="G13" s="58">
        <f ca="1">wi</f>
        <v>0</v>
      </c>
      <c r="H13" s="58">
        <f ca="1">wj-(-fj*L)-qy*L^4/(8*E*Jz)</f>
        <v>1.8987818007646142</v>
      </c>
      <c r="I13" s="37"/>
    </row>
    <row r="14" spans="1:9" x14ac:dyDescent="0.25">
      <c r="A14" s="37" t="s">
        <v>130</v>
      </c>
      <c r="B14" s="58">
        <f t="shared" ref="B14:B16" ca="1" si="1">IF($B$8="SS",C14,IF($B$8="SP",D14,IF($B$8="PS",E14,IF($B$8="PP",F14,IF($B$8="SW",G14,IF($B$8="WS",H14,0))))))</f>
        <v>3.3832072727502105E-6</v>
      </c>
      <c r="C14" s="59">
        <f ca="1">fi</f>
        <v>0</v>
      </c>
      <c r="D14" s="58">
        <f ca="1">fi</f>
        <v>0</v>
      </c>
      <c r="E14" s="58">
        <f ca="1">fj/2+(3*(wj-wi))/(2*L)-qy*L^3/(48*E*Jz)</f>
        <v>3.3832072727502105E-6</v>
      </c>
      <c r="F14" s="58">
        <f ca="1">(wj-wi)/L+qy*L^3/(24*E*Jz)</f>
        <v>-6.712869115844039E-2</v>
      </c>
      <c r="G14" s="58">
        <f ca="1">-fi</f>
        <v>0</v>
      </c>
      <c r="H14" s="58">
        <f ca="1">(-fj)+qy*L^3/(6*E*Jz)</f>
        <v>-0.20139283988986667</v>
      </c>
      <c r="I14" s="37"/>
    </row>
    <row r="15" spans="1:9" x14ac:dyDescent="0.25">
      <c r="A15" s="37" t="s">
        <v>131</v>
      </c>
      <c r="B15" s="58">
        <f t="shared" si="1"/>
        <v>0</v>
      </c>
      <c r="C15" s="59">
        <f ca="1">(3*(wj-wi)-L*(2*fi+(-fj))-qy*L^4/(24*E*Jz))/L^2</f>
        <v>4.7845776094457275E-7</v>
      </c>
      <c r="D15" s="58">
        <f ca="1">3*(wj-wi-L*fi)/(2*L^2)-qy*L^2/(16*E*Jz)</f>
        <v>7.1200729095465942E-3</v>
      </c>
      <c r="E15" s="58">
        <v>0</v>
      </c>
      <c r="F15" s="58">
        <v>0</v>
      </c>
      <c r="G15" s="58">
        <f>-qy*L^2/(4*E*Jz)</f>
        <v>2.8480291638186377E-2</v>
      </c>
      <c r="H15" s="58">
        <v>0</v>
      </c>
      <c r="I15" s="37"/>
    </row>
    <row r="16" spans="1:9" x14ac:dyDescent="0.25">
      <c r="A16" s="37" t="s">
        <v>132</v>
      </c>
      <c r="B16" s="58">
        <f t="shared" ca="1" si="1"/>
        <v>-3.3566037182856555E-4</v>
      </c>
      <c r="C16" s="59">
        <f ca="1">(L*(fi+(-fj))-2*(wj-wi)+qy*L^4/(12*E*Jz))/L^3</f>
        <v>-3.3567728786492942E-4</v>
      </c>
      <c r="D16" s="58">
        <f ca="1">(wi+L*fi-wj)/(2*L^3)+5*qy*L/(48*E*Jz)</f>
        <v>-8.3910863948050466E-4</v>
      </c>
      <c r="E16" s="58">
        <f ca="1">(wi-wj+(-fj)*L)/(2*L^3)+qy*L/(16*E*Jz)</f>
        <v>-3.3566037182856555E-4</v>
      </c>
      <c r="F16" s="58">
        <f>-qy*L/(12*E*Jz)</f>
        <v>6.7128691158440377E-4</v>
      </c>
      <c r="G16" s="58">
        <f>qy*L/(6*E*Jz)</f>
        <v>-1.3425738231688075E-3</v>
      </c>
      <c r="H16" s="58">
        <v>0</v>
      </c>
      <c r="I16" s="37"/>
    </row>
    <row r="17" spans="1:9" x14ac:dyDescent="0.25">
      <c r="A17" s="36"/>
      <c r="B17" s="36"/>
      <c r="C17" s="36"/>
      <c r="D17" s="36"/>
      <c r="E17" s="36"/>
      <c r="F17" s="36"/>
      <c r="G17" s="36"/>
      <c r="H17" s="36"/>
      <c r="I17" s="36"/>
    </row>
    <row r="18" spans="1:9" x14ac:dyDescent="0.25">
      <c r="A18" s="57" t="s">
        <v>128</v>
      </c>
      <c r="B18" s="57" t="s">
        <v>126</v>
      </c>
      <c r="C18" s="57" t="s">
        <v>82</v>
      </c>
      <c r="D18" s="57" t="s">
        <v>113</v>
      </c>
      <c r="E18" s="36"/>
      <c r="F18" s="36"/>
      <c r="G18" s="36"/>
      <c r="H18" s="36"/>
      <c r="I18" s="36"/>
    </row>
    <row r="19" spans="1:9" x14ac:dyDescent="0.25">
      <c r="A19" s="37">
        <v>0</v>
      </c>
      <c r="B19" s="129">
        <f t="shared" ref="B19:B29" ca="1" si="2">-(c_a+c_b*A19+c_c*A19^2+c_d*A19^3-qy/(24*E*Jz)*A19^4)</f>
        <v>0</v>
      </c>
      <c r="C19" s="60">
        <f t="shared" ref="C19:C29" ca="1" si="3">E*Jz*(2*c_c+6*c_d*A19-qy/(2*E*Jz)*A19^2)</f>
        <v>0</v>
      </c>
      <c r="D19" s="60">
        <f t="shared" ref="D19:D29" ca="1" si="4">E*Jz*(6*c_d-qy/(E*Jz)*A19)</f>
        <v>-35.357120926933781</v>
      </c>
      <c r="E19" s="126" cm="1">
        <f t="array" ref="E19">INDEX('Internal forces'!E9:E259,B1*2,1)</f>
        <v>0</v>
      </c>
      <c r="F19" s="36" t="b">
        <f ca="1">IF(AND(ABS(E19)&lt;1/10,ABS(C19)&lt;1/10),TRUE,FALSE)</f>
        <v>1</v>
      </c>
      <c r="G19" s="36" t="b">
        <f>IF(ABS(E19)&gt;1/10,TRUE,FALSE)</f>
        <v>0</v>
      </c>
      <c r="H19" s="127">
        <f>IF(G19=TRUE,ABS(ABS(C19)-ABS(E19))/ABS(E19),1)</f>
        <v>1</v>
      </c>
      <c r="I19" s="36" t="b">
        <f ca="1">IF(OR(F19=TRUE,H19&lt;1/10),TRUE,FALSE)</f>
        <v>1</v>
      </c>
    </row>
    <row r="20" spans="1:9" x14ac:dyDescent="0.25">
      <c r="A20" s="37">
        <f>1*$A$29/10</f>
        <v>1.4142135623730951</v>
      </c>
      <c r="B20" s="129">
        <f t="shared" ca="1" si="2"/>
        <v>8.4967201731224299E-4</v>
      </c>
      <c r="C20" s="60">
        <f t="shared" ca="1" si="3"/>
        <v>-40.002519941335329</v>
      </c>
      <c r="D20" s="60">
        <f t="shared" ca="1" si="4"/>
        <v>-21.21498530320283</v>
      </c>
      <c r="E20" s="36"/>
      <c r="F20" s="36"/>
      <c r="G20" s="36"/>
      <c r="H20" s="128"/>
      <c r="I20" s="36"/>
    </row>
    <row r="21" spans="1:9" x14ac:dyDescent="0.25">
      <c r="A21" s="37">
        <f>2*$A$29/10</f>
        <v>2.8284271247461903</v>
      </c>
      <c r="B21" s="129">
        <f t="shared" ca="1" si="2"/>
        <v>6.0666091604696295E-3</v>
      </c>
      <c r="C21" s="60">
        <f t="shared" ca="1" si="3"/>
        <v>-60.005039882670665</v>
      </c>
      <c r="D21" s="60">
        <f t="shared" ca="1" si="4"/>
        <v>-7.0728496794718776</v>
      </c>
      <c r="E21" s="36"/>
      <c r="F21" s="36"/>
      <c r="G21" s="36"/>
      <c r="H21" s="128"/>
      <c r="I21" s="36"/>
    </row>
    <row r="22" spans="1:9" x14ac:dyDescent="0.25">
      <c r="A22" s="37">
        <f>3*$A$29/10</f>
        <v>4.2426406871192857</v>
      </c>
      <c r="B22" s="129">
        <f t="shared" ca="1" si="2"/>
        <v>1.7929521835183638E-2</v>
      </c>
      <c r="C22" s="60">
        <f t="shared" ca="1" si="3"/>
        <v>-60.007559824006002</v>
      </c>
      <c r="D22" s="60">
        <f t="shared" ca="1" si="4"/>
        <v>7.0692859442590761</v>
      </c>
      <c r="E22" s="36"/>
      <c r="F22" s="36"/>
      <c r="G22" s="36"/>
      <c r="H22" s="128"/>
      <c r="I22" s="36"/>
    </row>
    <row r="23" spans="1:9" x14ac:dyDescent="0.25">
      <c r="A23" s="37">
        <f>4*$A$29/10</f>
        <v>5.6568542494923806</v>
      </c>
      <c r="B23" s="129">
        <f t="shared" ca="1" si="2"/>
        <v>3.6438697116110828E-2</v>
      </c>
      <c r="C23" s="60">
        <f t="shared" ca="1" si="3"/>
        <v>-40.01007976534131</v>
      </c>
      <c r="D23" s="60">
        <f t="shared" ca="1" si="4"/>
        <v>21.211421567990026</v>
      </c>
      <c r="E23" s="36"/>
      <c r="F23" s="36"/>
      <c r="G23" s="36"/>
      <c r="H23" s="128"/>
      <c r="I23" s="36"/>
    </row>
    <row r="24" spans="1:9" x14ac:dyDescent="0.25">
      <c r="A24" s="37">
        <f>5*$A$29/10</f>
        <v>7.0710678118654755</v>
      </c>
      <c r="B24" s="129">
        <f t="shared" ca="1" si="2"/>
        <v>5.9315998746852845E-2</v>
      </c>
      <c r="C24" s="60">
        <f t="shared" ca="1" si="3"/>
        <v>-1.2599706676614489E-2</v>
      </c>
      <c r="D24" s="60">
        <f t="shared" ca="1" si="4"/>
        <v>35.353557191720967</v>
      </c>
      <c r="E24" s="36"/>
      <c r="F24" s="36"/>
      <c r="G24" s="36"/>
      <c r="H24" s="128"/>
      <c r="I24" s="36"/>
    </row>
    <row r="25" spans="1:9" x14ac:dyDescent="0.25">
      <c r="A25" s="37">
        <f>6*$A$29/10</f>
        <v>8.4852813742385713</v>
      </c>
      <c r="B25" s="129">
        <f t="shared" ca="1" si="2"/>
        <v>8.2004867139956458E-2</v>
      </c>
      <c r="C25" s="60">
        <f t="shared" ca="1" si="3"/>
        <v>59.984880351988032</v>
      </c>
      <c r="D25" s="60">
        <f t="shared" ca="1" si="4"/>
        <v>49.495692815451932</v>
      </c>
      <c r="E25" s="36"/>
      <c r="F25" s="36"/>
      <c r="G25" s="36"/>
      <c r="H25" s="128"/>
      <c r="I25" s="36"/>
    </row>
    <row r="26" spans="1:9" x14ac:dyDescent="0.25">
      <c r="A26" s="37">
        <f>7*$A$29/10</f>
        <v>9.8994949366116654</v>
      </c>
      <c r="B26" s="129">
        <f t="shared" ca="1" si="2"/>
        <v>9.7670319376913506E-2</v>
      </c>
      <c r="C26" s="60">
        <f t="shared" ca="1" si="3"/>
        <v>139.98236041065266</v>
      </c>
      <c r="D26" s="60">
        <f t="shared" ca="1" si="4"/>
        <v>63.637828439182869</v>
      </c>
      <c r="E26" s="36"/>
      <c r="F26" s="36"/>
      <c r="G26" s="36"/>
      <c r="H26" s="128"/>
      <c r="I26" s="36"/>
    </row>
    <row r="27" spans="1:9" x14ac:dyDescent="0.25">
      <c r="A27" s="37">
        <f>8*$A$29/10</f>
        <v>11.313708498984761</v>
      </c>
      <c r="B27" s="129">
        <f t="shared" ca="1" si="2"/>
        <v>9.7198949208160856E-2</v>
      </c>
      <c r="C27" s="60">
        <f t="shared" ca="1" si="3"/>
        <v>239.97984046931742</v>
      </c>
      <c r="D27" s="60">
        <f t="shared" ca="1" si="4"/>
        <v>77.779964062913834</v>
      </c>
      <c r="E27" s="36"/>
      <c r="F27" s="36"/>
      <c r="G27" s="36"/>
      <c r="H27" s="128"/>
      <c r="I27" s="36"/>
    </row>
    <row r="28" spans="1:9" x14ac:dyDescent="0.25">
      <c r="A28" s="37">
        <f>9*$A$29/10</f>
        <v>12.727922061357855</v>
      </c>
      <c r="B28" s="129">
        <f t="shared" ca="1" si="2"/>
        <v>6.9198927053080617E-2</v>
      </c>
      <c r="C28" s="60">
        <f t="shared" ca="1" si="3"/>
        <v>359.97732052798204</v>
      </c>
      <c r="D28" s="60">
        <f t="shared" ca="1" si="4"/>
        <v>91.922099686644771</v>
      </c>
      <c r="E28" s="36"/>
      <c r="F28" s="36"/>
      <c r="G28" s="36"/>
      <c r="H28" s="128"/>
      <c r="I28" s="36"/>
    </row>
    <row r="29" spans="1:9" x14ac:dyDescent="0.25">
      <c r="A29" s="37">
        <f>L</f>
        <v>14.142135623730951</v>
      </c>
      <c r="B29" s="129">
        <f t="shared" ca="1" si="2"/>
        <v>-3.3306690738754696E-16</v>
      </c>
      <c r="C29" s="60">
        <f t="shared" ca="1" si="3"/>
        <v>499.97480058664684</v>
      </c>
      <c r="D29" s="60">
        <f t="shared" ca="1" si="4"/>
        <v>106.06423531037572</v>
      </c>
      <c r="E29" s="126" cm="1">
        <f t="array" ref="E29">INDEX('Internal forces'!E9:E259,B1*2+1,1)</f>
        <v>-499.97571695515194</v>
      </c>
      <c r="F29" s="36" t="b">
        <f ca="1">IF(AND(ABS(E29)&lt;1/10,ABS(C29)&lt;1/10),TRUE,FALSE)</f>
        <v>0</v>
      </c>
      <c r="G29" s="36" t="b">
        <f>IF(ABS(E29)&gt;1/10,TRUE,FALSE)</f>
        <v>1</v>
      </c>
      <c r="H29" s="127">
        <f ca="1">IF(G29=TRUE,ABS(ABS(C29)-ABS(E29))/ABS(E29),1)</f>
        <v>1.8328260233973047E-6</v>
      </c>
      <c r="I29" s="36" t="b">
        <f ca="1">IF(OR(F29=TRUE,H29&lt;1/10),TRUE,FALSE)</f>
        <v>1</v>
      </c>
    </row>
    <row r="30" spans="1:9" x14ac:dyDescent="0.25">
      <c r="A30" s="36"/>
      <c r="B30" s="36"/>
      <c r="C30" s="36"/>
      <c r="D30" s="36"/>
      <c r="E30" s="36"/>
      <c r="F30" s="36"/>
      <c r="G30" s="36"/>
      <c r="H30" s="36"/>
      <c r="I30" s="36" t="b">
        <f ca="1">IF(AND(I19=TRUE,I29=TRUE),TRUE,FALSE)</f>
        <v>1</v>
      </c>
    </row>
    <row r="31" spans="1:9" x14ac:dyDescent="0.25">
      <c r="B31" s="23"/>
      <c r="C31" s="24"/>
      <c r="D31" s="23"/>
      <c r="E31" s="23"/>
      <c r="F31" s="24"/>
      <c r="G31" s="23"/>
    </row>
  </sheetData>
  <dataConsolidate/>
  <phoneticPr fontId="6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704B3-3564-4111-A0A9-FCF6B812C05A}">
  <sheetPr codeName="Arkusz7"/>
  <dimension ref="A1:O22"/>
  <sheetViews>
    <sheetView workbookViewId="0"/>
  </sheetViews>
  <sheetFormatPr defaultRowHeight="15" x14ac:dyDescent="0.25"/>
  <cols>
    <col min="1" max="1" width="26.5703125" customWidth="1"/>
    <col min="2" max="15" width="11.7109375" customWidth="1"/>
  </cols>
  <sheetData>
    <row r="1" spans="1:15" s="114" customFormat="1" ht="15.75" thickBot="1" x14ac:dyDescent="0.3">
      <c r="A1" s="114" t="str">
        <f>Members!A3</f>
        <v>element</v>
      </c>
      <c r="B1" s="114">
        <f>IF(Members!B3&lt;&gt;"",Members!B3,"")</f>
        <v>1</v>
      </c>
      <c r="C1" s="114">
        <f>IF(Members!C3&lt;&gt;"",Members!C3,"")</f>
        <v>2</v>
      </c>
      <c r="D1" s="114" t="str">
        <f>IF(Members!D3&lt;&gt;"",Members!D3,"")</f>
        <v/>
      </c>
      <c r="E1" s="114" t="str">
        <f>IF(Members!E3&lt;&gt;"",Members!E3,"")</f>
        <v/>
      </c>
      <c r="F1" s="114" t="str">
        <f>IF(Members!F3&lt;&gt;"",Members!F3,"")</f>
        <v/>
      </c>
      <c r="G1" s="114" t="str">
        <f>IF(Members!G3&lt;&gt;"",Members!G3,"")</f>
        <v/>
      </c>
      <c r="H1" s="114" t="str">
        <f>IF(Members!H3&lt;&gt;"",Members!H3,"")</f>
        <v/>
      </c>
      <c r="I1" s="114" t="str">
        <f>IF(Members!I3&lt;&gt;"",Members!I3,"")</f>
        <v/>
      </c>
      <c r="J1" s="114" t="str">
        <f>IF(Members!J3&lt;&gt;"",Members!J3,"")</f>
        <v/>
      </c>
      <c r="K1" s="114" t="str">
        <f>IF(Members!K3&lt;&gt;"",Members!K3,"")</f>
        <v/>
      </c>
      <c r="L1" s="114" t="str">
        <f>IF(Members!L3&lt;&gt;"",Members!L3,"")</f>
        <v/>
      </c>
      <c r="M1" s="114" t="str">
        <f>IF(Members!M3&lt;&gt;"",Members!M3,"")</f>
        <v/>
      </c>
      <c r="N1" s="114" t="str">
        <f>IF(Members!N3&lt;&gt;"",Members!N3,"")</f>
        <v/>
      </c>
      <c r="O1" s="114" t="str">
        <f>IF(Members!O3&lt;&gt;"",Members!O3,"")</f>
        <v/>
      </c>
    </row>
    <row r="2" spans="1:15" s="115" customFormat="1" x14ac:dyDescent="0.25">
      <c r="A2" s="115" t="s">
        <v>6</v>
      </c>
      <c r="B2" s="115" cm="1">
        <f t="array" ref="B2">IF(B1&lt;&gt;"",INDEX(Nodes!$B$3:$R$5,2,B13),"")</f>
        <v>0</v>
      </c>
      <c r="C2" s="115" cm="1">
        <f t="array" ref="C2">IF(C1&lt;&gt;"",INDEX(Nodes!$B$3:$R$5,2,C13),"")</f>
        <v>10</v>
      </c>
      <c r="D2" s="115" t="str" cm="1">
        <f t="array" ref="D2">IF(D1&lt;&gt;"",INDEX(Nodes!$B$3:$R$5,2,D13),"")</f>
        <v/>
      </c>
      <c r="E2" s="115" t="str" cm="1">
        <f t="array" ref="E2">IF(E1&lt;&gt;"",INDEX(Nodes!$B$3:$R$5,2,E13),"")</f>
        <v/>
      </c>
      <c r="F2" s="115" t="str" cm="1">
        <f t="array" ref="F2">IF(F1&lt;&gt;"",INDEX(Nodes!$B$3:$R$5,2,F13),"")</f>
        <v/>
      </c>
      <c r="G2" s="115" t="str" cm="1">
        <f t="array" ref="G2">IF(G1&lt;&gt;"",INDEX(Nodes!$B$3:$R$5,2,G13),"")</f>
        <v/>
      </c>
      <c r="H2" s="115" t="str" cm="1">
        <f t="array" ref="H2">IF(H1&lt;&gt;"",INDEX(Nodes!$B$3:$R$5,2,H13),"")</f>
        <v/>
      </c>
      <c r="I2" s="115" t="str" cm="1">
        <f t="array" ref="I2">IF(I1&lt;&gt;"",INDEX(Nodes!$B$3:$R$5,2,I13),"")</f>
        <v/>
      </c>
      <c r="J2" s="115" t="str" cm="1">
        <f t="array" ref="J2">IF(J1&lt;&gt;"",INDEX(Nodes!$B$3:$R$5,2,J13),"")</f>
        <v/>
      </c>
      <c r="K2" s="115" t="str" cm="1">
        <f t="array" ref="K2">IF(K1&lt;&gt;"",INDEX(Nodes!$B$3:$R$5,2,K13),"")</f>
        <v/>
      </c>
      <c r="L2" s="115" t="str" cm="1">
        <f t="array" ref="L2">IF(L1&lt;&gt;"",INDEX(Nodes!$B$3:$R$5,2,L13),"")</f>
        <v/>
      </c>
      <c r="M2" s="115" t="str" cm="1">
        <f t="array" ref="M2">IF(M1&lt;&gt;"",INDEX(Nodes!$B$3:$R$5,2,M13),"")</f>
        <v/>
      </c>
      <c r="N2" s="115" t="str" cm="1">
        <f t="array" ref="N2">IF(N1&lt;&gt;"",INDEX(Nodes!$B$3:$R$5,2,N13),"")</f>
        <v/>
      </c>
      <c r="O2" s="115" t="str" cm="1">
        <f t="array" ref="O2">IF(O1&lt;&gt;"",INDEX(Nodes!$B$3:$R$5,2,O13),"")</f>
        <v/>
      </c>
    </row>
    <row r="3" spans="1:15" s="42" customFormat="1" x14ac:dyDescent="0.25">
      <c r="A3" s="42" t="s">
        <v>7</v>
      </c>
      <c r="B3" s="42" cm="1">
        <f t="array" ref="B3">IF(B1&lt;&gt;"",INDEX(Nodes!$B$3:$R$5,3,B13),"")</f>
        <v>0</v>
      </c>
      <c r="C3" s="42" cm="1">
        <f t="array" ref="C3">IF(C1&lt;&gt;"",INDEX(Nodes!$B$3:$R$5,3,C13),"")</f>
        <v>10</v>
      </c>
      <c r="D3" s="42" t="str" cm="1">
        <f t="array" ref="D3">IF(D1&lt;&gt;"",INDEX(Nodes!$B$3:$R$5,3,D13),"")</f>
        <v/>
      </c>
      <c r="E3" s="42" t="str" cm="1">
        <f t="array" ref="E3">IF(E1&lt;&gt;"",INDEX(Nodes!$B$3:$R$5,3,E13),"")</f>
        <v/>
      </c>
      <c r="F3" s="42" t="str" cm="1">
        <f t="array" ref="F3">IF(F1&lt;&gt;"",INDEX(Nodes!$B$3:$R$5,3,F13),"")</f>
        <v/>
      </c>
      <c r="G3" s="42" t="str" cm="1">
        <f t="array" ref="G3">IF(G1&lt;&gt;"",INDEX(Nodes!$B$3:$R$5,3,G13),"")</f>
        <v/>
      </c>
      <c r="H3" s="42" t="str" cm="1">
        <f t="array" ref="H3">IF(H1&lt;&gt;"",INDEX(Nodes!$B$3:$R$5,3,H13),"")</f>
        <v/>
      </c>
      <c r="I3" s="42" t="str" cm="1">
        <f t="array" ref="I3">IF(I1&lt;&gt;"",INDEX(Nodes!$B$3:$R$5,3,I13),"")</f>
        <v/>
      </c>
      <c r="J3" s="42" t="str" cm="1">
        <f t="array" ref="J3">IF(J1&lt;&gt;"",INDEX(Nodes!$B$3:$R$5,3,J13),"")</f>
        <v/>
      </c>
      <c r="K3" s="42" t="str" cm="1">
        <f t="array" ref="K3">IF(K1&lt;&gt;"",INDEX(Nodes!$B$3:$R$5,3,K13),"")</f>
        <v/>
      </c>
      <c r="L3" s="42" t="str" cm="1">
        <f t="array" ref="L3">IF(L1&lt;&gt;"",INDEX(Nodes!$B$3:$R$5,3,L13),"")</f>
        <v/>
      </c>
      <c r="M3" s="42" t="str" cm="1">
        <f t="array" ref="M3">IF(M1&lt;&gt;"",INDEX(Nodes!$B$3:$R$5,3,M13),"")</f>
        <v/>
      </c>
      <c r="N3" s="42" t="str" cm="1">
        <f t="array" ref="N3">IF(N1&lt;&gt;"",INDEX(Nodes!$B$3:$R$5,3,N13),"")</f>
        <v/>
      </c>
      <c r="O3" s="42" t="str" cm="1">
        <f t="array" ref="O3">IF(O1&lt;&gt;"",INDEX(Nodes!$B$3:$R$5,3,O13),"")</f>
        <v/>
      </c>
    </row>
    <row r="4" spans="1:15" s="42" customFormat="1" x14ac:dyDescent="0.25">
      <c r="A4" s="42" t="s">
        <v>8</v>
      </c>
      <c r="B4" s="42" cm="1">
        <f t="array" ref="B4">IF(B1&lt;&gt;"",INDEX(Nodes!$B$3:$R$5,2,B17),"")</f>
        <v>10</v>
      </c>
      <c r="C4" s="42" cm="1">
        <f t="array" ref="C4">IF(C1&lt;&gt;"",INDEX(Nodes!$B$3:$R$5,2,C17),"")</f>
        <v>20</v>
      </c>
      <c r="D4" s="42" t="str" cm="1">
        <f t="array" ref="D4">IF(D1&lt;&gt;"",INDEX(Nodes!$B$3:$R$5,2,D17),"")</f>
        <v/>
      </c>
      <c r="E4" s="42" t="str" cm="1">
        <f t="array" ref="E4">IF(E1&lt;&gt;"",INDEX(Nodes!$B$3:$R$5,2,E17),"")</f>
        <v/>
      </c>
      <c r="F4" s="42" t="str" cm="1">
        <f t="array" ref="F4">IF(F1&lt;&gt;"",INDEX(Nodes!$B$3:$R$5,2,F17),"")</f>
        <v/>
      </c>
      <c r="G4" s="42" t="str" cm="1">
        <f t="array" ref="G4">IF(G1&lt;&gt;"",INDEX(Nodes!$B$3:$R$5,2,G17),"")</f>
        <v/>
      </c>
      <c r="H4" s="42" t="str" cm="1">
        <f t="array" ref="H4">IF(H1&lt;&gt;"",INDEX(Nodes!$B$3:$R$5,2,H17),"")</f>
        <v/>
      </c>
      <c r="I4" s="42" t="str" cm="1">
        <f t="array" ref="I4">IF(I1&lt;&gt;"",INDEX(Nodes!$B$3:$R$5,2,I17),"")</f>
        <v/>
      </c>
      <c r="J4" s="42" t="str" cm="1">
        <f t="array" ref="J4">IF(J1&lt;&gt;"",INDEX(Nodes!$B$3:$R$5,2,J17),"")</f>
        <v/>
      </c>
      <c r="K4" s="42" t="str" cm="1">
        <f t="array" ref="K4">IF(K1&lt;&gt;"",INDEX(Nodes!$B$3:$R$5,2,K17),"")</f>
        <v/>
      </c>
      <c r="L4" s="42" t="str" cm="1">
        <f t="array" ref="L4">IF(L1&lt;&gt;"",INDEX(Nodes!$B$3:$R$5,2,L17),"")</f>
        <v/>
      </c>
      <c r="M4" s="42" t="str" cm="1">
        <f t="array" ref="M4">IF(M1&lt;&gt;"",INDEX(Nodes!$B$3:$R$5,2,M17),"")</f>
        <v/>
      </c>
      <c r="N4" s="42" t="str" cm="1">
        <f t="array" ref="N4">IF(N1&lt;&gt;"",INDEX(Nodes!$B$3:$R$5,2,N17),"")</f>
        <v/>
      </c>
      <c r="O4" s="42" t="str" cm="1">
        <f t="array" ref="O4">IF(O1&lt;&gt;"",INDEX(Nodes!$B$3:$R$5,2,O17),"")</f>
        <v/>
      </c>
    </row>
    <row r="5" spans="1:15" s="42" customFormat="1" x14ac:dyDescent="0.25">
      <c r="A5" s="42" t="s">
        <v>9</v>
      </c>
      <c r="B5" s="42" cm="1">
        <f t="array" ref="B5">IF(B1&lt;&gt;"",INDEX(Nodes!$B$3:$R$5,3,B17),"")</f>
        <v>10</v>
      </c>
      <c r="C5" s="42" cm="1">
        <f t="array" ref="C5">IF(C1&lt;&gt;"",INDEX(Nodes!$B$3:$R$5,3,C17),"")</f>
        <v>10</v>
      </c>
      <c r="D5" s="42" t="str" cm="1">
        <f t="array" ref="D5">IF(D1&lt;&gt;"",INDEX(Nodes!$B$3:$R$5,3,D17),"")</f>
        <v/>
      </c>
      <c r="E5" s="42" t="str" cm="1">
        <f t="array" ref="E5">IF(E1&lt;&gt;"",INDEX(Nodes!$B$3:$R$5,3,E17),"")</f>
        <v/>
      </c>
      <c r="F5" s="42" t="str" cm="1">
        <f t="array" ref="F5">IF(F1&lt;&gt;"",INDEX(Nodes!$B$3:$R$5,3,F17),"")</f>
        <v/>
      </c>
      <c r="G5" s="42" t="str" cm="1">
        <f t="array" ref="G5">IF(G1&lt;&gt;"",INDEX(Nodes!$B$3:$R$5,3,G17),"")</f>
        <v/>
      </c>
      <c r="H5" s="42" t="str" cm="1">
        <f t="array" ref="H5">IF(H1&lt;&gt;"",INDEX(Nodes!$B$3:$R$5,3,H17),"")</f>
        <v/>
      </c>
      <c r="I5" s="42" t="str" cm="1">
        <f t="array" ref="I5">IF(I1&lt;&gt;"",INDEX(Nodes!$B$3:$R$5,3,I17),"")</f>
        <v/>
      </c>
      <c r="J5" s="42" t="str" cm="1">
        <f t="array" ref="J5">IF(J1&lt;&gt;"",INDEX(Nodes!$B$3:$R$5,3,J17),"")</f>
        <v/>
      </c>
      <c r="K5" s="42" t="str" cm="1">
        <f t="array" ref="K5">IF(K1&lt;&gt;"",INDEX(Nodes!$B$3:$R$5,3,K17),"")</f>
        <v/>
      </c>
      <c r="L5" s="42" t="str" cm="1">
        <f t="array" ref="L5">IF(L1&lt;&gt;"",INDEX(Nodes!$B$3:$R$5,3,L17),"")</f>
        <v/>
      </c>
      <c r="M5" s="42" t="str" cm="1">
        <f t="array" ref="M5">IF(M1&lt;&gt;"",INDEX(Nodes!$B$3:$R$5,3,M17),"")</f>
        <v/>
      </c>
      <c r="N5" s="42" t="str" cm="1">
        <f t="array" ref="N5">IF(N1&lt;&gt;"",INDEX(Nodes!$B$3:$R$5,3,N17),"")</f>
        <v/>
      </c>
      <c r="O5" s="42" t="str" cm="1">
        <f t="array" ref="O5">IF(O1&lt;&gt;"",INDEX(Nodes!$B$3:$R$5,3,O17),"")</f>
        <v/>
      </c>
    </row>
    <row r="6" spans="1:15" s="116" customFormat="1" ht="15.75" thickBot="1" x14ac:dyDescent="0.3">
      <c r="A6" s="116" t="s">
        <v>10</v>
      </c>
      <c r="B6" s="116">
        <f>IF(B1&lt;&gt;"",SQRT((B4-B2)^2+(B5-B3)^2),"")</f>
        <v>14.142135623730951</v>
      </c>
      <c r="C6" s="116">
        <f t="shared" ref="C6:O6" si="0">IF(C1&lt;&gt;"",SQRT((C4-C2)^2+(C5-C3)^2),"")</f>
        <v>10</v>
      </c>
      <c r="D6" s="116" t="str">
        <f t="shared" si="0"/>
        <v/>
      </c>
      <c r="E6" s="116" t="str">
        <f t="shared" si="0"/>
        <v/>
      </c>
      <c r="F6" s="116" t="str">
        <f t="shared" si="0"/>
        <v/>
      </c>
      <c r="G6" s="116" t="str">
        <f t="shared" si="0"/>
        <v/>
      </c>
      <c r="H6" s="116" t="str">
        <f t="shared" si="0"/>
        <v/>
      </c>
      <c r="I6" s="116" t="str">
        <f t="shared" si="0"/>
        <v/>
      </c>
      <c r="J6" s="116" t="str">
        <f t="shared" si="0"/>
        <v/>
      </c>
      <c r="K6" s="116" t="str">
        <f t="shared" si="0"/>
        <v/>
      </c>
      <c r="L6" s="116" t="str">
        <f t="shared" si="0"/>
        <v/>
      </c>
      <c r="M6" s="116" t="str">
        <f t="shared" si="0"/>
        <v/>
      </c>
      <c r="N6" s="116" t="str">
        <f t="shared" si="0"/>
        <v/>
      </c>
      <c r="O6" s="116" t="str">
        <f t="shared" si="0"/>
        <v/>
      </c>
    </row>
    <row r="7" spans="1:15" s="117" customFormat="1" x14ac:dyDescent="0.25">
      <c r="A7" s="117" t="s">
        <v>104</v>
      </c>
      <c r="B7" s="117">
        <f>IF(B1&lt;&gt;"",IFERROR(VLOOKUP(Members!B7,Sections!$A$2:$D$18,2,FALSE)/10000,0),"")</f>
        <v>5.3799999999999994E-3</v>
      </c>
      <c r="C7" s="117">
        <f>IF(C1&lt;&gt;"",IFERROR(VLOOKUP(Members!C7,Sections!$A$2:$D$18,2,FALSE)/10000,0),"")</f>
        <v>5.3799999999999994E-3</v>
      </c>
      <c r="D7" s="117" t="str">
        <f>IF(D1&lt;&gt;"",IFERROR(VLOOKUP(Members!D7,Sections!$A$2:$D$18,2,FALSE)/10000,0),"")</f>
        <v/>
      </c>
      <c r="E7" s="117" t="str">
        <f>IF(E1&lt;&gt;"",IFERROR(VLOOKUP(Members!E7,Sections!$A$2:$D$18,2,FALSE)/10000,0),"")</f>
        <v/>
      </c>
      <c r="F7" s="117" t="str">
        <f>IF(F1&lt;&gt;"",IFERROR(VLOOKUP(Members!F7,Sections!$A$2:$D$18,2,FALSE)/10000,0),"")</f>
        <v/>
      </c>
      <c r="G7" s="117" t="str">
        <f>IF(G1&lt;&gt;"",IFERROR(VLOOKUP(Members!G7,Sections!$A$2:$D$18,2,FALSE)/10000,0),"")</f>
        <v/>
      </c>
      <c r="H7" s="117" t="str">
        <f>IF(H1&lt;&gt;"",IFERROR(VLOOKUP(Members!H7,Sections!$A$2:$D$18,2,FALSE)/10000,0),"")</f>
        <v/>
      </c>
      <c r="I7" s="117" t="str">
        <f>IF(I1&lt;&gt;"",IFERROR(VLOOKUP(Members!I7,Sections!$A$2:$D$18,2,FALSE)/10000,0),"")</f>
        <v/>
      </c>
      <c r="J7" s="117" t="str">
        <f>IF(J1&lt;&gt;"",IFERROR(VLOOKUP(Members!J7,Sections!$A$2:$D$18,2,FALSE)/10000,0),"")</f>
        <v/>
      </c>
      <c r="K7" s="117" t="str">
        <f>IF(K1&lt;&gt;"",IFERROR(VLOOKUP(Members!K7,Sections!$A$2:$D$18,2,FALSE)/10000,0),"")</f>
        <v/>
      </c>
      <c r="L7" s="117" t="str">
        <f>IF(L1&lt;&gt;"",IFERROR(VLOOKUP(Members!L7,Sections!$A$2:$D$18,2,FALSE)/10000,0),"")</f>
        <v/>
      </c>
      <c r="M7" s="117" t="str">
        <f>IF(M1&lt;&gt;"",IFERROR(VLOOKUP(Members!M7,Sections!$A$2:$D$18,2,FALSE)/10000,0),"")</f>
        <v/>
      </c>
      <c r="N7" s="117" t="str">
        <f>IF(N1&lt;&gt;"",IFERROR(VLOOKUP(Members!N7,Sections!$A$2:$D$18,2,FALSE)/10000,0),"")</f>
        <v/>
      </c>
      <c r="O7" s="117" t="str">
        <f>IF(O1&lt;&gt;"",IFERROR(VLOOKUP(Members!O7,Sections!$A$2:$D$18,2,FALSE)/10000,0),"")</f>
        <v/>
      </c>
    </row>
    <row r="8" spans="1:15" s="118" customFormat="1" x14ac:dyDescent="0.25">
      <c r="A8" s="118" t="s">
        <v>105</v>
      </c>
      <c r="B8" s="118">
        <f>IF(B1&lt;&gt;"",IFERROR(VLOOKUP(Members!B7,Sections!$A$2:$D$18,3,FALSE)/100000000,0),"")</f>
        <v>8.3599999999999999E-5</v>
      </c>
      <c r="C8" s="118">
        <f>IF(C1&lt;&gt;"",IFERROR(VLOOKUP(Members!C7,Sections!$A$2:$D$18,3,FALSE)/100000000,0),"")</f>
        <v>8.3599999999999999E-5</v>
      </c>
      <c r="D8" s="118" t="str">
        <f>IF(D1&lt;&gt;"",IFERROR(VLOOKUP(Members!D7,Sections!$A$2:$D$18,3,FALSE)/100000000,0),"")</f>
        <v/>
      </c>
      <c r="E8" s="118" t="str">
        <f>IF(E1&lt;&gt;"",IFERROR(VLOOKUP(Members!E7,Sections!$A$2:$D$18,3,FALSE)/100000000,0),"")</f>
        <v/>
      </c>
      <c r="F8" s="118" t="str">
        <f>IF(F1&lt;&gt;"",IFERROR(VLOOKUP(Members!F7,Sections!$A$2:$D$18,3,FALSE)/100000000,0),"")</f>
        <v/>
      </c>
      <c r="G8" s="118" t="str">
        <f>IF(G1&lt;&gt;"",IFERROR(VLOOKUP(Members!G7,Sections!$A$2:$D$18,3,FALSE)/100000000,0),"")</f>
        <v/>
      </c>
      <c r="H8" s="118" t="str">
        <f>IF(H1&lt;&gt;"",IFERROR(VLOOKUP(Members!H7,Sections!$A$2:$D$18,3,FALSE)/100000000,0),"")</f>
        <v/>
      </c>
      <c r="I8" s="118" t="str">
        <f>IF(I1&lt;&gt;"",IFERROR(VLOOKUP(Members!I7,Sections!$A$2:$D$18,3,FALSE)/100000000,0),"")</f>
        <v/>
      </c>
      <c r="J8" s="118" t="str">
        <f>IF(J1&lt;&gt;"",IFERROR(VLOOKUP(Members!J7,Sections!$A$2:$D$18,3,FALSE)/100000000,0),"")</f>
        <v/>
      </c>
      <c r="K8" s="118" t="str">
        <f>IF(K1&lt;&gt;"",IFERROR(VLOOKUP(Members!K7,Sections!$A$2:$D$18,3,FALSE)/100000000,0),"")</f>
        <v/>
      </c>
      <c r="L8" s="118" t="str">
        <f>IF(L1&lt;&gt;"",IFERROR(VLOOKUP(Members!L7,Sections!$A$2:$D$18,3,FALSE)/100000000,0),"")</f>
        <v/>
      </c>
      <c r="M8" s="118" t="str">
        <f>IF(M1&lt;&gt;"",IFERROR(VLOOKUP(Members!M7,Sections!$A$2:$D$18,3,FALSE)/100000000,0),"")</f>
        <v/>
      </c>
      <c r="N8" s="118" t="str">
        <f>IF(N1&lt;&gt;"",IFERROR(VLOOKUP(Members!N7,Sections!$A$2:$D$18,3,FALSE)/100000000,0),"")</f>
        <v/>
      </c>
      <c r="O8" s="118" t="str">
        <f>IF(O1&lt;&gt;"",IFERROR(VLOOKUP(Members!O7,Sections!$A$2:$D$18,3,FALSE)/100000000,0),"")</f>
        <v/>
      </c>
    </row>
    <row r="9" spans="1:15" s="119" customFormat="1" ht="13.5" x14ac:dyDescent="0.25">
      <c r="A9" s="119" t="s">
        <v>106</v>
      </c>
      <c r="B9" s="119">
        <f>IF(B1&lt;&gt;"",IFERROR(VLOOKUP(Members!B7,Sections!$A$2:$D$18,4,FALSE)*1000000,0),"")</f>
        <v>210000000</v>
      </c>
      <c r="C9" s="119">
        <f>IF(C1&lt;&gt;"",IFERROR(VLOOKUP(Members!C7,Sections!$A$2:$D$18,4,FALSE)*1000000,0),"")</f>
        <v>210000000</v>
      </c>
      <c r="D9" s="119" t="str">
        <f>IF(D1&lt;&gt;"",IFERROR(VLOOKUP(Members!D7,Sections!$A$2:$D$18,4,FALSE)*1000000,0),"")</f>
        <v/>
      </c>
      <c r="E9" s="119" t="str">
        <f>IF(E1&lt;&gt;"",IFERROR(VLOOKUP(Members!E7,Sections!$A$2:$D$18,4,FALSE)*1000000,0),"")</f>
        <v/>
      </c>
      <c r="F9" s="119" t="str">
        <f>IF(F1&lt;&gt;"",IFERROR(VLOOKUP(Members!F7,Sections!$A$2:$D$18,4,FALSE)*1000000,0),"")</f>
        <v/>
      </c>
      <c r="G9" s="119" t="str">
        <f>IF(G1&lt;&gt;"",IFERROR(VLOOKUP(Members!G7,Sections!$A$2:$D$18,4,FALSE)*1000000,0),"")</f>
        <v/>
      </c>
      <c r="H9" s="119" t="str">
        <f>IF(H1&lt;&gt;"",IFERROR(VLOOKUP(Members!H7,Sections!$A$2:$D$18,4,FALSE)*1000000,0),"")</f>
        <v/>
      </c>
      <c r="I9" s="119" t="str">
        <f>IF(I1&lt;&gt;"",IFERROR(VLOOKUP(Members!I7,Sections!$A$2:$D$18,4,FALSE)*1000000,0),"")</f>
        <v/>
      </c>
      <c r="J9" s="119" t="str">
        <f>IF(J1&lt;&gt;"",IFERROR(VLOOKUP(Members!J7,Sections!$A$2:$D$18,4,FALSE)*1000000,0),"")</f>
        <v/>
      </c>
      <c r="K9" s="119" t="str">
        <f>IF(K1&lt;&gt;"",IFERROR(VLOOKUP(Members!K7,Sections!$A$2:$D$18,4,FALSE)*1000000,0),"")</f>
        <v/>
      </c>
      <c r="L9" s="119" t="str">
        <f>IF(L1&lt;&gt;"",IFERROR(VLOOKUP(Members!L7,Sections!$A$2:$D$18,4,FALSE)*1000000,0),"")</f>
        <v/>
      </c>
      <c r="M9" s="119" t="str">
        <f>IF(M1&lt;&gt;"",IFERROR(VLOOKUP(Members!M7,Sections!$A$2:$D$18,4,FALSE)*1000000,0),"")</f>
        <v/>
      </c>
      <c r="N9" s="119" t="str">
        <f>IF(N1&lt;&gt;"",IFERROR(VLOOKUP(Members!N7,Sections!$A$2:$D$18,4,FALSE)*1000000,0),"")</f>
        <v/>
      </c>
      <c r="O9" s="119" t="str">
        <f>IF(O1&lt;&gt;"",IFERROR(VLOOKUP(Members!O7,Sections!$A$2:$D$18,4,FALSE)*1000000,0),"")</f>
        <v/>
      </c>
    </row>
    <row r="10" spans="1:15" s="120" customFormat="1" x14ac:dyDescent="0.25">
      <c r="A10" s="120" t="s">
        <v>11</v>
      </c>
      <c r="B10" s="120">
        <f>IF(B1&lt;&gt;"",(B5-B3)/B6,"")</f>
        <v>0.70710678118654746</v>
      </c>
      <c r="C10" s="120">
        <f t="shared" ref="C10:O10" si="1">IF(C1&lt;&gt;"",(C5-C3)/C6,"")</f>
        <v>0</v>
      </c>
      <c r="D10" s="120" t="str">
        <f t="shared" si="1"/>
        <v/>
      </c>
      <c r="E10" s="120" t="str">
        <f t="shared" si="1"/>
        <v/>
      </c>
      <c r="F10" s="120" t="str">
        <f t="shared" si="1"/>
        <v/>
      </c>
      <c r="G10" s="120" t="str">
        <f t="shared" si="1"/>
        <v/>
      </c>
      <c r="H10" s="120" t="str">
        <f t="shared" si="1"/>
        <v/>
      </c>
      <c r="I10" s="120" t="str">
        <f t="shared" si="1"/>
        <v/>
      </c>
      <c r="J10" s="120" t="str">
        <f t="shared" si="1"/>
        <v/>
      </c>
      <c r="K10" s="120" t="str">
        <f t="shared" si="1"/>
        <v/>
      </c>
      <c r="L10" s="120" t="str">
        <f t="shared" si="1"/>
        <v/>
      </c>
      <c r="M10" s="120" t="str">
        <f t="shared" si="1"/>
        <v/>
      </c>
      <c r="N10" s="120" t="str">
        <f t="shared" si="1"/>
        <v/>
      </c>
      <c r="O10" s="120" t="str">
        <f t="shared" si="1"/>
        <v/>
      </c>
    </row>
    <row r="11" spans="1:15" s="120" customFormat="1" x14ac:dyDescent="0.25">
      <c r="A11" s="120" t="s">
        <v>12</v>
      </c>
      <c r="B11" s="120">
        <f>IF(B1&lt;&gt;"",(B4-B2)/B6,"")</f>
        <v>0.70710678118654746</v>
      </c>
      <c r="C11" s="120">
        <f t="shared" ref="C11:O11" si="2">IF(C1&lt;&gt;"",(C4-C2)/C6,"")</f>
        <v>1</v>
      </c>
      <c r="D11" s="120" t="str">
        <f t="shared" si="2"/>
        <v/>
      </c>
      <c r="E11" s="120" t="str">
        <f t="shared" si="2"/>
        <v/>
      </c>
      <c r="F11" s="120" t="str">
        <f t="shared" si="2"/>
        <v/>
      </c>
      <c r="G11" s="120" t="str">
        <f t="shared" si="2"/>
        <v/>
      </c>
      <c r="H11" s="120" t="str">
        <f t="shared" si="2"/>
        <v/>
      </c>
      <c r="I11" s="120" t="str">
        <f t="shared" si="2"/>
        <v/>
      </c>
      <c r="J11" s="120" t="str">
        <f t="shared" si="2"/>
        <v/>
      </c>
      <c r="K11" s="120" t="str">
        <f t="shared" si="2"/>
        <v/>
      </c>
      <c r="L11" s="120" t="str">
        <f t="shared" si="2"/>
        <v/>
      </c>
      <c r="M11" s="120" t="str">
        <f t="shared" si="2"/>
        <v/>
      </c>
      <c r="N11" s="120" t="str">
        <f t="shared" si="2"/>
        <v/>
      </c>
      <c r="O11" s="120" t="str">
        <f t="shared" si="2"/>
        <v/>
      </c>
    </row>
    <row r="12" spans="1:15" s="42" customFormat="1" x14ac:dyDescent="0.25"/>
    <row r="13" spans="1:15" s="114" customFormat="1" ht="15.75" thickBot="1" x14ac:dyDescent="0.3">
      <c r="A13" s="121" t="s">
        <v>48</v>
      </c>
      <c r="B13" s="114">
        <f>IF(B1&lt;&gt;"",Members!B5,"")</f>
        <v>1</v>
      </c>
      <c r="C13" s="114">
        <f>IF(C1&lt;&gt;"",Members!C5,"")</f>
        <v>2</v>
      </c>
      <c r="D13" s="114" t="str">
        <f>IF(D1&lt;&gt;"",Members!D5,"")</f>
        <v/>
      </c>
      <c r="E13" s="114" t="str">
        <f>IF(E1&lt;&gt;"",Members!E5,"")</f>
        <v/>
      </c>
      <c r="F13" s="114" t="str">
        <f>IF(F1&lt;&gt;"",Members!F5,"")</f>
        <v/>
      </c>
      <c r="G13" s="114" t="str">
        <f>IF(G1&lt;&gt;"",Members!G5,"")</f>
        <v/>
      </c>
      <c r="H13" s="114" t="str">
        <f>IF(H1&lt;&gt;"",Members!H5,"")</f>
        <v/>
      </c>
      <c r="I13" s="114" t="str">
        <f>IF(I1&lt;&gt;"",Members!I5,"")</f>
        <v/>
      </c>
      <c r="J13" s="114" t="str">
        <f>IF(J1&lt;&gt;"",Members!J5,"")</f>
        <v/>
      </c>
      <c r="K13" s="114" t="str">
        <f>IF(K1&lt;&gt;"",Members!K5,"")</f>
        <v/>
      </c>
      <c r="L13" s="114" t="str">
        <f>IF(L1&lt;&gt;"",Members!L5,"")</f>
        <v/>
      </c>
      <c r="M13" s="114" t="str">
        <f>IF(M1&lt;&gt;"",Members!M5,"")</f>
        <v/>
      </c>
      <c r="N13" s="114" t="str">
        <f>IF(N1&lt;&gt;"",Members!N5,"")</f>
        <v/>
      </c>
      <c r="O13" s="114" t="str">
        <f>IF(O1&lt;&gt;"",Members!O5,"")</f>
        <v/>
      </c>
    </row>
    <row r="14" spans="1:15" s="115" customFormat="1" x14ac:dyDescent="0.25">
      <c r="B14" s="122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</row>
    <row r="15" spans="1:15" s="42" customFormat="1" x14ac:dyDescent="0.25">
      <c r="A15" s="42" t="str">
        <f>Members!A9</f>
        <v>left node    - MZ  release</v>
      </c>
      <c r="B15" s="123" t="str">
        <f>IF(B$1&lt;&gt;"",Members!B9,"")</f>
        <v>Y</v>
      </c>
      <c r="C15" s="123" t="str">
        <f>IF(C$1&lt;&gt;"",Members!C9,"")</f>
        <v>N</v>
      </c>
      <c r="D15" s="123" t="str">
        <f>IF(D$1&lt;&gt;"",Members!D9,"")</f>
        <v/>
      </c>
      <c r="E15" s="123" t="str">
        <f>IF(E$1&lt;&gt;"",Members!E9,"")</f>
        <v/>
      </c>
      <c r="F15" s="123" t="str">
        <f>IF(F$1&lt;&gt;"",Members!F9,"")</f>
        <v/>
      </c>
      <c r="G15" s="123" t="str">
        <f>IF(G$1&lt;&gt;"",Members!G9,"")</f>
        <v/>
      </c>
      <c r="H15" s="123" t="str">
        <f>IF(H$1&lt;&gt;"",Members!H9,"")</f>
        <v/>
      </c>
      <c r="I15" s="123" t="str">
        <f>IF(I$1&lt;&gt;"",Members!I9,"")</f>
        <v/>
      </c>
      <c r="J15" s="123" t="str">
        <f>IF(J$1&lt;&gt;"",Members!J9,"")</f>
        <v/>
      </c>
      <c r="K15" s="123" t="str">
        <f>IF(K$1&lt;&gt;"",Members!K9,"")</f>
        <v/>
      </c>
      <c r="L15" s="123" t="str">
        <f>IF(L$1&lt;&gt;"",Members!L9,"")</f>
        <v/>
      </c>
      <c r="M15" s="123" t="str">
        <f>IF(M$1&lt;&gt;"",Members!M9,"")</f>
        <v/>
      </c>
      <c r="N15" s="123" t="str">
        <f>IF(N$1&lt;&gt;"",Members!N9,"")</f>
        <v/>
      </c>
      <c r="O15" s="123" t="str">
        <f>IF(O$1&lt;&gt;"",Members!O9,"")</f>
        <v/>
      </c>
    </row>
    <row r="16" spans="1:15" s="42" customFormat="1" x14ac:dyDescent="0.25">
      <c r="B16" s="123" t="str">
        <f>IF(B15&lt;&gt;"",IF(B15="Y","P","S"),"")</f>
        <v>P</v>
      </c>
      <c r="C16" s="123" t="str">
        <f t="shared" ref="C16:O16" si="3">IF(C15&lt;&gt;"",IF(C15="Y","P","S"),"")</f>
        <v>S</v>
      </c>
      <c r="D16" s="123" t="str">
        <f t="shared" si="3"/>
        <v/>
      </c>
      <c r="E16" s="123" t="str">
        <f t="shared" si="3"/>
        <v/>
      </c>
      <c r="F16" s="123" t="str">
        <f t="shared" si="3"/>
        <v/>
      </c>
      <c r="G16" s="123" t="str">
        <f t="shared" si="3"/>
        <v/>
      </c>
      <c r="H16" s="123" t="str">
        <f t="shared" si="3"/>
        <v/>
      </c>
      <c r="I16" s="123" t="str">
        <f t="shared" si="3"/>
        <v/>
      </c>
      <c r="J16" s="123" t="str">
        <f t="shared" si="3"/>
        <v/>
      </c>
      <c r="K16" s="123" t="str">
        <f t="shared" si="3"/>
        <v/>
      </c>
      <c r="L16" s="123" t="str">
        <f t="shared" si="3"/>
        <v/>
      </c>
      <c r="M16" s="123" t="str">
        <f t="shared" si="3"/>
        <v/>
      </c>
      <c r="N16" s="123" t="str">
        <f t="shared" si="3"/>
        <v/>
      </c>
      <c r="O16" s="123" t="str">
        <f t="shared" si="3"/>
        <v/>
      </c>
    </row>
    <row r="17" spans="1:15" s="114" customFormat="1" ht="15.75" thickBot="1" x14ac:dyDescent="0.3">
      <c r="A17" s="121" t="s">
        <v>49</v>
      </c>
      <c r="B17" s="124">
        <f>IF(B1&lt;&gt;"",Members!B6,"")</f>
        <v>2</v>
      </c>
      <c r="C17" s="124">
        <f>IF(C1&lt;&gt;"",Members!C6,"")</f>
        <v>3</v>
      </c>
      <c r="D17" s="124" t="str">
        <f>IF(D1&lt;&gt;"",Members!D6,"")</f>
        <v/>
      </c>
      <c r="E17" s="124" t="str">
        <f>IF(E1&lt;&gt;"",Members!E6,"")</f>
        <v/>
      </c>
      <c r="F17" s="124" t="str">
        <f>IF(F1&lt;&gt;"",Members!F6,"")</f>
        <v/>
      </c>
      <c r="G17" s="124" t="str">
        <f>IF(G1&lt;&gt;"",Members!G6,"")</f>
        <v/>
      </c>
      <c r="H17" s="124" t="str">
        <f>IF(H1&lt;&gt;"",Members!H6,"")</f>
        <v/>
      </c>
      <c r="I17" s="124" t="str">
        <f>IF(I1&lt;&gt;"",Members!I6,"")</f>
        <v/>
      </c>
      <c r="J17" s="124" t="str">
        <f>IF(J1&lt;&gt;"",Members!J6,"")</f>
        <v/>
      </c>
      <c r="K17" s="124" t="str">
        <f>IF(K1&lt;&gt;"",Members!K6,"")</f>
        <v/>
      </c>
      <c r="L17" s="124" t="str">
        <f>IF(L1&lt;&gt;"",Members!L6,"")</f>
        <v/>
      </c>
      <c r="M17" s="124" t="str">
        <f>IF(M1&lt;&gt;"",Members!M6,"")</f>
        <v/>
      </c>
      <c r="N17" s="124" t="str">
        <f>IF(N1&lt;&gt;"",Members!N6,"")</f>
        <v/>
      </c>
      <c r="O17" s="124" t="str">
        <f>IF(O1&lt;&gt;"",Members!O6,"")</f>
        <v/>
      </c>
    </row>
    <row r="18" spans="1:15" s="115" customFormat="1" x14ac:dyDescent="0.25">
      <c r="B18" s="122"/>
      <c r="C18" s="122"/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</row>
    <row r="19" spans="1:15" s="42" customFormat="1" x14ac:dyDescent="0.25">
      <c r="A19" s="42" t="str">
        <f>Members!A10</f>
        <v>right node - MZ  release</v>
      </c>
      <c r="B19" s="123" t="str">
        <f>IF(B$1&lt;&gt;"",Members!B10,"")</f>
        <v>N</v>
      </c>
      <c r="C19" s="123" t="str">
        <f>IF(C$1&lt;&gt;"",Members!C10,"")</f>
        <v>Y</v>
      </c>
      <c r="D19" s="123" t="str">
        <f>IF(D$1&lt;&gt;"",Members!D10,"")</f>
        <v/>
      </c>
      <c r="E19" s="123" t="str">
        <f>IF(E$1&lt;&gt;"",Members!E10,"")</f>
        <v/>
      </c>
      <c r="F19" s="123" t="str">
        <f>IF(F$1&lt;&gt;"",Members!F10,"")</f>
        <v/>
      </c>
      <c r="G19" s="123" t="str">
        <f>IF(G$1&lt;&gt;"",Members!G10,"")</f>
        <v/>
      </c>
      <c r="H19" s="123" t="str">
        <f>IF(H$1&lt;&gt;"",Members!H10,"")</f>
        <v/>
      </c>
      <c r="I19" s="123" t="str">
        <f>IF(I$1&lt;&gt;"",Members!I10,"")</f>
        <v/>
      </c>
      <c r="J19" s="123" t="str">
        <f>IF(J$1&lt;&gt;"",Members!J10,"")</f>
        <v/>
      </c>
      <c r="K19" s="123" t="str">
        <f>IF(K$1&lt;&gt;"",Members!K10,"")</f>
        <v/>
      </c>
      <c r="L19" s="123" t="str">
        <f>IF(L$1&lt;&gt;"",Members!L10,"")</f>
        <v/>
      </c>
      <c r="M19" s="123" t="str">
        <f>IF(M$1&lt;&gt;"",Members!M10,"")</f>
        <v/>
      </c>
      <c r="N19" s="123" t="str">
        <f>IF(N$1&lt;&gt;"",Members!N10,"")</f>
        <v/>
      </c>
      <c r="O19" s="123" t="str">
        <f>IF(O$1&lt;&gt;"",Members!O10,"")</f>
        <v/>
      </c>
    </row>
    <row r="20" spans="1:15" s="42" customFormat="1" x14ac:dyDescent="0.25">
      <c r="B20" s="123" t="str">
        <f>IF(B19&lt;&gt;"",IF(B19="Y","P","S"),"")</f>
        <v>S</v>
      </c>
      <c r="C20" s="123" t="str">
        <f t="shared" ref="C20:O20" si="4">IF(C19&lt;&gt;"",IF(C19="Y","P","S"),"")</f>
        <v>P</v>
      </c>
      <c r="D20" s="123" t="str">
        <f t="shared" si="4"/>
        <v/>
      </c>
      <c r="E20" s="123" t="str">
        <f t="shared" si="4"/>
        <v/>
      </c>
      <c r="F20" s="123" t="str">
        <f t="shared" si="4"/>
        <v/>
      </c>
      <c r="G20" s="123" t="str">
        <f t="shared" si="4"/>
        <v/>
      </c>
      <c r="H20" s="123" t="str">
        <f t="shared" si="4"/>
        <v/>
      </c>
      <c r="I20" s="123" t="str">
        <f t="shared" si="4"/>
        <v/>
      </c>
      <c r="J20" s="123" t="str">
        <f t="shared" si="4"/>
        <v/>
      </c>
      <c r="K20" s="123" t="str">
        <f t="shared" si="4"/>
        <v/>
      </c>
      <c r="L20" s="123" t="str">
        <f t="shared" si="4"/>
        <v/>
      </c>
      <c r="M20" s="123" t="str">
        <f t="shared" si="4"/>
        <v/>
      </c>
      <c r="N20" s="123" t="str">
        <f t="shared" si="4"/>
        <v/>
      </c>
      <c r="O20" s="123" t="str">
        <f t="shared" si="4"/>
        <v/>
      </c>
    </row>
    <row r="21" spans="1:15" s="42" customFormat="1" x14ac:dyDescent="0.25">
      <c r="B21" s="123"/>
      <c r="C21" s="123"/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</row>
    <row r="22" spans="1:15" s="42" customFormat="1" x14ac:dyDescent="0.25">
      <c r="A22" s="42" t="s">
        <v>56</v>
      </c>
      <c r="B22" s="123" t="str">
        <f t="shared" ref="B22:O22" si="5">B16&amp;B20</f>
        <v>PS</v>
      </c>
      <c r="C22" s="123" t="str">
        <f t="shared" si="5"/>
        <v>SP</v>
      </c>
      <c r="D22" s="123" t="str">
        <f t="shared" si="5"/>
        <v/>
      </c>
      <c r="E22" s="123" t="str">
        <f t="shared" si="5"/>
        <v/>
      </c>
      <c r="F22" s="123" t="str">
        <f t="shared" si="5"/>
        <v/>
      </c>
      <c r="G22" s="123" t="str">
        <f t="shared" si="5"/>
        <v/>
      </c>
      <c r="H22" s="123" t="str">
        <f t="shared" si="5"/>
        <v/>
      </c>
      <c r="I22" s="123" t="str">
        <f t="shared" si="5"/>
        <v/>
      </c>
      <c r="J22" s="123" t="str">
        <f t="shared" si="5"/>
        <v/>
      </c>
      <c r="K22" s="123" t="str">
        <f t="shared" si="5"/>
        <v/>
      </c>
      <c r="L22" s="123" t="str">
        <f t="shared" si="5"/>
        <v/>
      </c>
      <c r="M22" s="123" t="str">
        <f t="shared" si="5"/>
        <v/>
      </c>
      <c r="N22" s="123" t="str">
        <f t="shared" si="5"/>
        <v/>
      </c>
      <c r="O22" s="123" t="str">
        <f t="shared" si="5"/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C2135-C495-4D74-B576-12ECA1EC0204}">
  <sheetPr codeName="Arkusz11"/>
  <dimension ref="A1:O10"/>
  <sheetViews>
    <sheetView workbookViewId="0">
      <selection activeCell="C3" sqref="C3"/>
    </sheetView>
  </sheetViews>
  <sheetFormatPr defaultRowHeight="15" x14ac:dyDescent="0.25"/>
  <cols>
    <col min="1" max="1" width="18.7109375" customWidth="1"/>
    <col min="2" max="15" width="12.85546875" customWidth="1"/>
  </cols>
  <sheetData>
    <row r="1" spans="1:15" s="37" customFormat="1" x14ac:dyDescent="0.25">
      <c r="A1" s="43" t="str">
        <f>Members!A3</f>
        <v>element</v>
      </c>
      <c r="B1" s="43">
        <f>IF(Members!B3&lt;&gt;"",Members!B3,"")</f>
        <v>1</v>
      </c>
      <c r="C1" s="43">
        <f>IF(Members!C3&lt;&gt;"",Members!C3,"")</f>
        <v>2</v>
      </c>
      <c r="D1" s="43" t="str">
        <f>IF(Members!D3&lt;&gt;"",Members!D3,"")</f>
        <v/>
      </c>
      <c r="E1" s="37" t="str">
        <f>IF(Members!E3&lt;&gt;"",Members!E3,"")</f>
        <v/>
      </c>
      <c r="F1" s="37" t="str">
        <f>IF(Members!F3&lt;&gt;"",Members!F3,"")</f>
        <v/>
      </c>
      <c r="G1" s="37" t="str">
        <f>IF(Members!G3&lt;&gt;"",Members!G3,"")</f>
        <v/>
      </c>
      <c r="H1" s="37" t="str">
        <f>IF(Members!H3&lt;&gt;"",Members!H3,"")</f>
        <v/>
      </c>
      <c r="I1" s="37" t="str">
        <f>IF(Members!I3&lt;&gt;"",Members!I3,"")</f>
        <v/>
      </c>
      <c r="J1" s="37" t="str">
        <f>IF(Members!J3&lt;&gt;"",Members!J3,"")</f>
        <v/>
      </c>
      <c r="K1" s="37" t="str">
        <f>IF(Members!K3&lt;&gt;"",Members!K3,"")</f>
        <v/>
      </c>
      <c r="L1" s="37" t="str">
        <f>IF(Members!L3&lt;&gt;"",Members!L3,"")</f>
        <v/>
      </c>
      <c r="M1" s="37" t="str">
        <f>IF(Members!M3&lt;&gt;"",Members!M3,"")</f>
        <v/>
      </c>
      <c r="N1" s="37" t="str">
        <f>IF(Members!N3&lt;&gt;"",Members!N3,"")</f>
        <v/>
      </c>
      <c r="O1" s="37" t="str">
        <f>IF(Members!O3&lt;&gt;"",Members!O3,"")</f>
        <v/>
      </c>
    </row>
    <row r="2" spans="1:15" s="37" customFormat="1" x14ac:dyDescent="0.25">
      <c r="A2" s="37" t="s">
        <v>17</v>
      </c>
      <c r="B2" s="64">
        <f>IF(B1&lt;&gt;"",IF(B3&gt;0,B8*SQRT(B3/(B10*B9)),0.01),"")</f>
        <v>0.01</v>
      </c>
      <c r="C2" s="64">
        <f t="shared" ref="C2:O2" si="0">IF(C1&lt;&gt;"",IF(C3&gt;0,C8*SQRT(C3/(C10*C9)),0.01),"")</f>
        <v>0.01</v>
      </c>
      <c r="D2" s="64" t="str">
        <f t="shared" si="0"/>
        <v/>
      </c>
      <c r="E2" s="64" t="str">
        <f t="shared" si="0"/>
        <v/>
      </c>
      <c r="F2" s="64" t="str">
        <f t="shared" si="0"/>
        <v/>
      </c>
      <c r="G2" s="64" t="str">
        <f t="shared" si="0"/>
        <v/>
      </c>
      <c r="H2" s="64" t="str">
        <f t="shared" si="0"/>
        <v/>
      </c>
      <c r="I2" s="64" t="str">
        <f t="shared" si="0"/>
        <v/>
      </c>
      <c r="J2" s="64" t="str">
        <f t="shared" si="0"/>
        <v/>
      </c>
      <c r="K2" s="64" t="str">
        <f t="shared" si="0"/>
        <v/>
      </c>
      <c r="L2" s="64" t="str">
        <f t="shared" si="0"/>
        <v/>
      </c>
      <c r="M2" s="64" t="str">
        <f t="shared" si="0"/>
        <v/>
      </c>
      <c r="N2" s="64" t="str">
        <f t="shared" si="0"/>
        <v/>
      </c>
      <c r="O2" s="64" t="str">
        <f t="shared" si="0"/>
        <v/>
      </c>
    </row>
    <row r="3" spans="1:15" s="22" customFormat="1" x14ac:dyDescent="0.25">
      <c r="A3" s="22" t="s">
        <v>107</v>
      </c>
      <c r="B3" s="22">
        <f>IF(B1&lt;&gt;"",0,"")</f>
        <v>0</v>
      </c>
      <c r="C3" s="22">
        <f t="shared" ref="C3:O3" si="1">IF(C1&lt;&gt;"",0,"")</f>
        <v>0</v>
      </c>
      <c r="D3" s="22" t="str">
        <f t="shared" si="1"/>
        <v/>
      </c>
      <c r="E3" s="22" t="str">
        <f t="shared" si="1"/>
        <v/>
      </c>
      <c r="F3" s="22" t="str">
        <f t="shared" si="1"/>
        <v/>
      </c>
      <c r="G3" s="22" t="str">
        <f t="shared" si="1"/>
        <v/>
      </c>
      <c r="H3" s="22" t="str">
        <f t="shared" si="1"/>
        <v/>
      </c>
      <c r="I3" s="22" t="str">
        <f t="shared" si="1"/>
        <v/>
      </c>
      <c r="J3" s="22" t="str">
        <f t="shared" si="1"/>
        <v/>
      </c>
      <c r="K3" s="22" t="str">
        <f t="shared" si="1"/>
        <v/>
      </c>
      <c r="L3" s="22" t="str">
        <f t="shared" si="1"/>
        <v/>
      </c>
      <c r="M3" s="22" t="str">
        <f t="shared" si="1"/>
        <v/>
      </c>
      <c r="N3" s="22" t="str">
        <f t="shared" si="1"/>
        <v/>
      </c>
      <c r="O3" s="22" t="str">
        <f t="shared" si="1"/>
        <v/>
      </c>
    </row>
    <row r="4" spans="1:15" s="37" customFormat="1" x14ac:dyDescent="0.25">
      <c r="A4" s="37" t="s">
        <v>108</v>
      </c>
      <c r="B4" s="37" t="b">
        <f>IF(B3="","",IF(B3&gt;0,TRUE,FALSE))</f>
        <v>0</v>
      </c>
      <c r="C4" s="37" t="b">
        <f t="shared" ref="C4:O4" si="2">IF(C3="","",IF(C3&gt;0,TRUE,FALSE))</f>
        <v>0</v>
      </c>
      <c r="D4" s="37" t="str">
        <f t="shared" si="2"/>
        <v/>
      </c>
      <c r="E4" s="37" t="str">
        <f t="shared" si="2"/>
        <v/>
      </c>
      <c r="F4" s="37" t="str">
        <f t="shared" si="2"/>
        <v/>
      </c>
      <c r="G4" s="37" t="str">
        <f t="shared" si="2"/>
        <v/>
      </c>
      <c r="H4" s="37" t="str">
        <f t="shared" si="2"/>
        <v/>
      </c>
      <c r="I4" s="37" t="str">
        <f t="shared" si="2"/>
        <v/>
      </c>
      <c r="J4" s="37" t="str">
        <f t="shared" si="2"/>
        <v/>
      </c>
      <c r="K4" s="37" t="str">
        <f t="shared" si="2"/>
        <v/>
      </c>
      <c r="L4" s="37" t="str">
        <f t="shared" si="2"/>
        <v/>
      </c>
      <c r="M4" s="37" t="str">
        <f t="shared" si="2"/>
        <v/>
      </c>
      <c r="N4" s="37" t="str">
        <f t="shared" si="2"/>
        <v/>
      </c>
      <c r="O4" s="37" t="str">
        <f t="shared" si="2"/>
        <v/>
      </c>
    </row>
    <row r="5" spans="1:15" s="66" customFormat="1" x14ac:dyDescent="0.25">
      <c r="A5" s="65" t="s">
        <v>57</v>
      </c>
      <c r="B5" s="66">
        <f>IF(B3="","",IF(B4=FALSE,SINH(B2),SIN(B2)))</f>
        <v>1.0000166667500001E-2</v>
      </c>
      <c r="C5" s="66">
        <f t="shared" ref="C5:O5" si="3">IF(C3="","",IF(C4=FALSE,SINH(C2),SIN(C2)))</f>
        <v>1.0000166667500001E-2</v>
      </c>
      <c r="D5" s="66" t="str">
        <f t="shared" si="3"/>
        <v/>
      </c>
      <c r="E5" s="66" t="str">
        <f t="shared" si="3"/>
        <v/>
      </c>
      <c r="F5" s="66" t="str">
        <f t="shared" si="3"/>
        <v/>
      </c>
      <c r="G5" s="66" t="str">
        <f t="shared" si="3"/>
        <v/>
      </c>
      <c r="H5" s="66" t="str">
        <f t="shared" si="3"/>
        <v/>
      </c>
      <c r="I5" s="66" t="str">
        <f t="shared" si="3"/>
        <v/>
      </c>
      <c r="J5" s="66" t="str">
        <f t="shared" si="3"/>
        <v/>
      </c>
      <c r="K5" s="66" t="str">
        <f t="shared" si="3"/>
        <v/>
      </c>
      <c r="L5" s="66" t="str">
        <f t="shared" si="3"/>
        <v/>
      </c>
      <c r="M5" s="66" t="str">
        <f t="shared" si="3"/>
        <v/>
      </c>
      <c r="N5" s="66" t="str">
        <f t="shared" si="3"/>
        <v/>
      </c>
      <c r="O5" s="66" t="str">
        <f t="shared" si="3"/>
        <v/>
      </c>
    </row>
    <row r="6" spans="1:15" s="66" customFormat="1" x14ac:dyDescent="0.25">
      <c r="A6" s="65" t="s">
        <v>58</v>
      </c>
      <c r="B6" s="66">
        <f>IF(B3="","",IF(B4=FALSE,COSH(B2),COS(B2)))</f>
        <v>1.0000500004166679</v>
      </c>
      <c r="C6" s="66">
        <f t="shared" ref="C6:O6" si="4">IF(C3="","",IF(C4=FALSE,COSH(C2),COS(C2)))</f>
        <v>1.0000500004166679</v>
      </c>
      <c r="D6" s="66" t="str">
        <f t="shared" si="4"/>
        <v/>
      </c>
      <c r="E6" s="66" t="str">
        <f t="shared" si="4"/>
        <v/>
      </c>
      <c r="F6" s="66" t="str">
        <f t="shared" si="4"/>
        <v/>
      </c>
      <c r="G6" s="66" t="str">
        <f t="shared" si="4"/>
        <v/>
      </c>
      <c r="H6" s="66" t="str">
        <f t="shared" si="4"/>
        <v/>
      </c>
      <c r="I6" s="66" t="str">
        <f t="shared" si="4"/>
        <v/>
      </c>
      <c r="J6" s="66" t="str">
        <f t="shared" si="4"/>
        <v/>
      </c>
      <c r="K6" s="66" t="str">
        <f t="shared" si="4"/>
        <v/>
      </c>
      <c r="L6" s="66" t="str">
        <f t="shared" si="4"/>
        <v/>
      </c>
      <c r="M6" s="66" t="str">
        <f t="shared" si="4"/>
        <v/>
      </c>
      <c r="N6" s="66" t="str">
        <f t="shared" si="4"/>
        <v/>
      </c>
      <c r="O6" s="66" t="str">
        <f t="shared" si="4"/>
        <v/>
      </c>
    </row>
    <row r="7" spans="1:15" s="37" customFormat="1" x14ac:dyDescent="0.25"/>
    <row r="8" spans="1:15" s="67" customFormat="1" x14ac:dyDescent="0.25">
      <c r="A8" s="65" t="s">
        <v>110</v>
      </c>
      <c r="B8" s="67">
        <f>'Members geometry'!B6</f>
        <v>14.142135623730951</v>
      </c>
      <c r="C8" s="67">
        <f>'Members geometry'!C6</f>
        <v>10</v>
      </c>
      <c r="D8" s="67" t="str">
        <f>'Members geometry'!D6</f>
        <v/>
      </c>
      <c r="E8" s="67" t="str">
        <f>'Members geometry'!E6</f>
        <v/>
      </c>
      <c r="F8" s="67" t="str">
        <f>'Members geometry'!F6</f>
        <v/>
      </c>
      <c r="G8" s="67" t="str">
        <f>'Members geometry'!G6</f>
        <v/>
      </c>
      <c r="H8" s="67" t="str">
        <f>'Members geometry'!H6</f>
        <v/>
      </c>
      <c r="I8" s="67" t="str">
        <f>'Members geometry'!I6</f>
        <v/>
      </c>
      <c r="J8" s="67" t="str">
        <f>'Members geometry'!J6</f>
        <v/>
      </c>
      <c r="K8" s="67" t="str">
        <f>'Members geometry'!K6</f>
        <v/>
      </c>
      <c r="L8" s="67" t="str">
        <f>'Members geometry'!L6</f>
        <v/>
      </c>
      <c r="M8" s="67" t="str">
        <f>'Members geometry'!M6</f>
        <v/>
      </c>
      <c r="N8" s="67" t="str">
        <f>'Members geometry'!N6</f>
        <v/>
      </c>
      <c r="O8" s="67" t="str">
        <f>'Members geometry'!O6</f>
        <v/>
      </c>
    </row>
    <row r="9" spans="1:15" s="37" customFormat="1" x14ac:dyDescent="0.25">
      <c r="A9" s="37" t="s">
        <v>105</v>
      </c>
      <c r="B9" s="37">
        <f>'Members geometry'!B8</f>
        <v>8.3599999999999999E-5</v>
      </c>
      <c r="C9" s="37">
        <f>'Members geometry'!C8</f>
        <v>8.3599999999999999E-5</v>
      </c>
      <c r="D9" s="37" t="str">
        <f>'Members geometry'!D8</f>
        <v/>
      </c>
      <c r="E9" s="37" t="str">
        <f>'Members geometry'!E8</f>
        <v/>
      </c>
      <c r="F9" s="37" t="str">
        <f>'Members geometry'!F8</f>
        <v/>
      </c>
      <c r="G9" s="37" t="str">
        <f>'Members geometry'!G8</f>
        <v/>
      </c>
      <c r="H9" s="37" t="str">
        <f>'Members geometry'!H8</f>
        <v/>
      </c>
      <c r="I9" s="37" t="str">
        <f>'Members geometry'!I8</f>
        <v/>
      </c>
      <c r="J9" s="37" t="str">
        <f>'Members geometry'!J8</f>
        <v/>
      </c>
      <c r="K9" s="37" t="str">
        <f>'Members geometry'!K8</f>
        <v/>
      </c>
      <c r="L9" s="37" t="str">
        <f>'Members geometry'!L8</f>
        <v/>
      </c>
      <c r="M9" s="37" t="str">
        <f>'Members geometry'!M8</f>
        <v/>
      </c>
      <c r="N9" s="37" t="str">
        <f>'Members geometry'!N8</f>
        <v/>
      </c>
      <c r="O9" s="37" t="str">
        <f>'Members geometry'!O8</f>
        <v/>
      </c>
    </row>
    <row r="10" spans="1:15" s="37" customFormat="1" x14ac:dyDescent="0.25">
      <c r="A10" s="37" t="s">
        <v>106</v>
      </c>
      <c r="B10" s="37">
        <f>'Members geometry'!B9</f>
        <v>210000000</v>
      </c>
      <c r="C10" s="37">
        <f>'Members geometry'!C9</f>
        <v>210000000</v>
      </c>
      <c r="D10" s="37" t="str">
        <f>'Members geometry'!D9</f>
        <v/>
      </c>
      <c r="E10" s="37" t="str">
        <f>'Members geometry'!E9</f>
        <v/>
      </c>
      <c r="F10" s="37" t="str">
        <f>'Members geometry'!F9</f>
        <v/>
      </c>
      <c r="G10" s="37" t="str">
        <f>'Members geometry'!G9</f>
        <v/>
      </c>
      <c r="H10" s="37" t="str">
        <f>'Members geometry'!H9</f>
        <v/>
      </c>
      <c r="I10" s="37" t="str">
        <f>'Members geometry'!I9</f>
        <v/>
      </c>
      <c r="J10" s="37" t="str">
        <f>'Members geometry'!J9</f>
        <v/>
      </c>
      <c r="K10" s="37" t="str">
        <f>'Members geometry'!K9</f>
        <v/>
      </c>
      <c r="L10" s="37" t="str">
        <f>'Members geometry'!L9</f>
        <v/>
      </c>
      <c r="M10" s="37" t="str">
        <f>'Members geometry'!M9</f>
        <v/>
      </c>
      <c r="N10" s="37" t="str">
        <f>'Members geometry'!N9</f>
        <v/>
      </c>
      <c r="O10" s="37" t="str">
        <f>'Members geometry'!O9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96448-AFFC-4616-A38E-5106029B7CC9}">
  <sheetPr codeName="Arkusz8"/>
  <dimension ref="A1:R75"/>
  <sheetViews>
    <sheetView zoomScaleNormal="100" workbookViewId="0"/>
  </sheetViews>
  <sheetFormatPr defaultRowHeight="15" x14ac:dyDescent="0.25"/>
  <cols>
    <col min="1" max="1" width="14.7109375" customWidth="1"/>
    <col min="2" max="2" width="14.7109375" style="7" customWidth="1"/>
    <col min="3" max="3" width="14.7109375" customWidth="1"/>
    <col min="4" max="4" width="14.7109375" style="7" customWidth="1"/>
    <col min="5" max="5" width="14.7109375" style="6" customWidth="1"/>
    <col min="6" max="13" width="14.7109375" customWidth="1"/>
    <col min="15" max="20" width="13.140625" customWidth="1"/>
  </cols>
  <sheetData>
    <row r="1" spans="1:11" s="3" customFormat="1" x14ac:dyDescent="0.25">
      <c r="A1" s="73" t="s">
        <v>83</v>
      </c>
      <c r="B1" s="73">
        <f>matrix_Ks_elem_glob!B1</f>
        <v>1</v>
      </c>
      <c r="C1" s="73"/>
      <c r="D1" s="73"/>
      <c r="E1" s="99"/>
      <c r="F1" s="73"/>
      <c r="G1" s="73"/>
      <c r="H1" s="73"/>
      <c r="I1" s="73"/>
      <c r="J1" s="73"/>
      <c r="K1" s="73"/>
    </row>
    <row r="2" spans="1:11" s="3" customFormat="1" x14ac:dyDescent="0.25">
      <c r="A2" s="73" t="s">
        <v>17</v>
      </c>
      <c r="B2" s="100" cm="1">
        <f t="array" ref="B2">INDEX('normal force'!$B$2:$O$6,1,$B$1)</f>
        <v>0.01</v>
      </c>
      <c r="C2" s="73"/>
      <c r="D2" s="73"/>
      <c r="E2" s="99"/>
      <c r="F2" s="73"/>
      <c r="G2" s="73"/>
      <c r="H2" s="73"/>
      <c r="I2" s="73"/>
      <c r="J2" s="73"/>
      <c r="K2" s="73"/>
    </row>
    <row r="3" spans="1:11" s="3" customFormat="1" x14ac:dyDescent="0.25">
      <c r="A3" s="73" t="s">
        <v>107</v>
      </c>
      <c r="B3" s="100" cm="1">
        <f t="array" ref="B3">INDEX('normal force'!$B$2:$O$6,2,$B$1)</f>
        <v>0</v>
      </c>
      <c r="C3" s="73"/>
      <c r="D3" s="101"/>
      <c r="E3" s="99"/>
      <c r="F3" s="36"/>
      <c r="G3" s="36"/>
      <c r="H3" s="73"/>
      <c r="I3" s="73"/>
      <c r="J3" s="73"/>
      <c r="K3" s="73"/>
    </row>
    <row r="4" spans="1:11" s="3" customFormat="1" x14ac:dyDescent="0.25">
      <c r="A4" s="73" t="s">
        <v>108</v>
      </c>
      <c r="B4" s="100" t="b" cm="1">
        <f t="array" ref="B4">INDEX('normal force'!$B$2:$O$6,3,$B$1)</f>
        <v>0</v>
      </c>
      <c r="C4" s="73"/>
      <c r="D4" s="101"/>
      <c r="E4" s="99"/>
      <c r="F4" s="36"/>
      <c r="G4" s="36"/>
      <c r="H4" s="73"/>
      <c r="I4" s="73"/>
      <c r="J4" s="73"/>
      <c r="K4" s="73"/>
    </row>
    <row r="5" spans="1:11" s="3" customFormat="1" x14ac:dyDescent="0.25">
      <c r="A5" s="75" t="s">
        <v>40</v>
      </c>
      <c r="B5" s="100" cm="1">
        <f t="array" ref="B5">INDEX('normal force'!$B$2:$O$6,4,$B$1)</f>
        <v>1.0000166667500001E-2</v>
      </c>
      <c r="C5" s="73"/>
      <c r="D5" s="101"/>
      <c r="E5" s="99"/>
      <c r="F5" s="36"/>
      <c r="G5" s="36"/>
      <c r="H5" s="73"/>
      <c r="I5" s="73"/>
      <c r="J5" s="73"/>
      <c r="K5" s="73"/>
    </row>
    <row r="6" spans="1:11" s="3" customFormat="1" x14ac:dyDescent="0.25">
      <c r="A6" s="75" t="s">
        <v>41</v>
      </c>
      <c r="B6" s="100" cm="1">
        <f t="array" ref="B6">INDEX('normal force'!$B$2:$O$6,5,$B$1)</f>
        <v>1.0000500004166679</v>
      </c>
      <c r="C6" s="73"/>
      <c r="D6" s="73"/>
      <c r="E6" s="73"/>
      <c r="F6" s="36"/>
      <c r="G6" s="36"/>
      <c r="H6" s="73"/>
      <c r="I6" s="73"/>
      <c r="J6" s="73"/>
      <c r="K6" s="73"/>
    </row>
    <row r="7" spans="1:11" s="10" customFormat="1" x14ac:dyDescent="0.25">
      <c r="A7" s="73" t="s">
        <v>39</v>
      </c>
      <c r="B7" s="102" cm="1">
        <f t="array" ref="B7">INDEX('Members geometry'!$B$1:$O$22,6,$B$1)</f>
        <v>14.142135623730951</v>
      </c>
      <c r="C7" s="76" t="s">
        <v>26</v>
      </c>
      <c r="D7" s="75"/>
      <c r="E7" s="75"/>
      <c r="F7" s="36"/>
      <c r="G7" s="36"/>
      <c r="H7" s="75"/>
      <c r="I7" s="75"/>
      <c r="J7" s="75"/>
      <c r="K7" s="75"/>
    </row>
    <row r="8" spans="1:11" s="10" customFormat="1" x14ac:dyDescent="0.25">
      <c r="A8" s="73" t="s">
        <v>19</v>
      </c>
      <c r="B8" s="101" cm="1">
        <f t="array" ref="B8">INDEX('Members geometry'!$B$1:$O$22,7,$B$1)</f>
        <v>5.3799999999999994E-3</v>
      </c>
      <c r="C8" s="76" t="s">
        <v>27</v>
      </c>
      <c r="D8" s="103"/>
      <c r="E8" s="77"/>
      <c r="F8" s="36"/>
      <c r="G8" s="36"/>
      <c r="H8" s="75"/>
      <c r="I8" s="75"/>
      <c r="J8" s="75"/>
      <c r="K8" s="75"/>
    </row>
    <row r="9" spans="1:11" s="10" customFormat="1" x14ac:dyDescent="0.25">
      <c r="A9" s="73" t="s">
        <v>20</v>
      </c>
      <c r="B9" s="101" cm="1">
        <f t="array" ref="B9">INDEX('Members geometry'!$B$1:$O$22,8,$B$1)</f>
        <v>8.3599999999999999E-5</v>
      </c>
      <c r="C9" s="104" t="s">
        <v>28</v>
      </c>
      <c r="D9" s="103"/>
      <c r="E9" s="77"/>
      <c r="F9" s="36"/>
      <c r="G9" s="36"/>
      <c r="H9" s="75"/>
      <c r="I9" s="75"/>
      <c r="J9" s="75"/>
      <c r="K9" s="75"/>
    </row>
    <row r="10" spans="1:11" s="10" customFormat="1" x14ac:dyDescent="0.25">
      <c r="A10" s="75" t="s">
        <v>18</v>
      </c>
      <c r="B10" s="102" cm="1">
        <f t="array" ref="B10">INDEX('Members geometry'!$B$1:$O$22,9,$B$1)</f>
        <v>210000000</v>
      </c>
      <c r="C10" s="76" t="s">
        <v>109</v>
      </c>
      <c r="D10" s="103"/>
      <c r="E10" s="77"/>
      <c r="F10" s="36"/>
      <c r="G10" s="36"/>
      <c r="H10" s="75"/>
      <c r="I10" s="75"/>
      <c r="J10" s="75"/>
      <c r="K10" s="75"/>
    </row>
    <row r="11" spans="1:11" s="10" customFormat="1" x14ac:dyDescent="0.25">
      <c r="A11" s="73" t="s">
        <v>16</v>
      </c>
      <c r="B11" s="73" t="str" cm="1">
        <f t="array" ref="B11">INDEX('Members geometry'!$B$22:$O$22,1,$B$1)</f>
        <v>PS</v>
      </c>
      <c r="C11" s="75"/>
      <c r="D11" s="103"/>
      <c r="E11" s="77"/>
      <c r="F11" s="36"/>
      <c r="G11" s="36"/>
      <c r="H11" s="75"/>
      <c r="I11" s="75"/>
      <c r="J11" s="75"/>
      <c r="K11" s="75"/>
    </row>
    <row r="12" spans="1:11" s="3" customFormat="1" x14ac:dyDescent="0.25">
      <c r="A12" s="73"/>
      <c r="B12" s="73"/>
      <c r="C12" s="73"/>
      <c r="D12" s="56"/>
      <c r="E12" s="99"/>
      <c r="F12" s="73"/>
      <c r="G12" s="73"/>
      <c r="H12" s="73"/>
      <c r="I12" s="73"/>
      <c r="J12" s="73"/>
      <c r="K12" s="73"/>
    </row>
    <row r="13" spans="1:11" s="7" customFormat="1" x14ac:dyDescent="0.25">
      <c r="A13" s="57"/>
      <c r="B13" s="57"/>
      <c r="C13" s="57" t="s">
        <v>31</v>
      </c>
      <c r="D13" s="57" t="s">
        <v>30</v>
      </c>
      <c r="E13" s="57" t="s">
        <v>29</v>
      </c>
      <c r="F13" s="57" t="s">
        <v>33</v>
      </c>
      <c r="G13" s="57" t="s">
        <v>34</v>
      </c>
      <c r="H13" s="57" t="s">
        <v>32</v>
      </c>
      <c r="I13" s="57" t="s">
        <v>35</v>
      </c>
      <c r="J13" s="57" t="s">
        <v>36</v>
      </c>
      <c r="K13" s="57" t="s">
        <v>37</v>
      </c>
    </row>
    <row r="14" spans="1:11" s="18" customFormat="1" x14ac:dyDescent="0.25">
      <c r="A14" s="68" t="s">
        <v>25</v>
      </c>
      <c r="B14" s="68">
        <f>IF($B$11=$E$13,E14,IF($B$11=$H$13,H14,IF($B$11=$K$13,K14)))</f>
        <v>0</v>
      </c>
      <c r="C14" s="69">
        <f>2*(1-cosinush)+si*sinush</f>
        <v>8.3333916625475714E-10</v>
      </c>
      <c r="D14" s="69">
        <f>2*(1-cosinush)-si*sinush</f>
        <v>-2.0000250001083378E-4</v>
      </c>
      <c r="E14" s="69">
        <f>IF($B$4=FALSE,C14,D14)</f>
        <v>8.3333916625475714E-10</v>
      </c>
      <c r="F14" s="69">
        <v>0</v>
      </c>
      <c r="G14" s="69">
        <v>0</v>
      </c>
      <c r="H14" s="69">
        <f>IF($B$4=FALSE,F14,G14)</f>
        <v>0</v>
      </c>
      <c r="I14" s="69">
        <v>0</v>
      </c>
      <c r="J14" s="69">
        <v>0</v>
      </c>
      <c r="K14" s="69">
        <f>IF($B$4=FALSE,I14,J14)</f>
        <v>0</v>
      </c>
    </row>
    <row r="15" spans="1:11" s="18" customFormat="1" x14ac:dyDescent="0.25">
      <c r="A15" s="68" t="s">
        <v>21</v>
      </c>
      <c r="B15" s="68">
        <f t="shared" ref="B15:B18" si="0">IF($B$11=$E$13,E15,IF($B$11=$H$13,H15,IF($B$11=$K$13,K15)))</f>
        <v>3.0000199999404344</v>
      </c>
      <c r="C15" s="69">
        <f>ABS(si/cdelta_SSminus*(sinush-si*cosinush))</f>
        <v>4.0000120020392451</v>
      </c>
      <c r="D15" s="69">
        <f>si/cdelta_SSplus*(sinush-si*cosinush)</f>
        <v>1.6666625000226719E-5</v>
      </c>
      <c r="E15" s="69">
        <f>IF($B$4=FALSE,C15,D15)</f>
        <v>4.0000120020392451</v>
      </c>
      <c r="F15" s="69">
        <f>ABS(si*si*sinush/(sinush-si*cosinush))</f>
        <v>3.0000199999404344</v>
      </c>
      <c r="G15" s="69">
        <f>si*si*sinush/(sinush-si*cosinush)</f>
        <v>-3.0000199999404344</v>
      </c>
      <c r="H15" s="69">
        <f>IF($B$4=FALSE,F15,G15)</f>
        <v>3.0000199999404344</v>
      </c>
      <c r="I15" s="69">
        <f>ABS(si*si*sinush/(sinush-si*cosinush))</f>
        <v>3.0000199999404344</v>
      </c>
      <c r="J15" s="69">
        <f>si*si*sinush/(sinush-si*cosinush)</f>
        <v>-3.0000199999404344</v>
      </c>
      <c r="K15" s="69">
        <f>IF($B$4=FALSE,I15,J15)</f>
        <v>3.0000199999404344</v>
      </c>
    </row>
    <row r="16" spans="1:11" s="18" customFormat="1" x14ac:dyDescent="0.25">
      <c r="A16" s="68" t="s">
        <v>22</v>
      </c>
      <c r="B16" s="68">
        <f t="shared" si="0"/>
        <v>0</v>
      </c>
      <c r="C16" s="69">
        <f>ABS(si/cdelta_SSminus*(si-sinush))</f>
        <v>1.9999960010263402</v>
      </c>
      <c r="D16" s="69">
        <f>si/cdelta_SSplus*(si-sinush)</f>
        <v>8.333270833703869E-6</v>
      </c>
      <c r="E16" s="69">
        <f>IF($B$4=FALSE,C16,D16)</f>
        <v>1.9999960010263402</v>
      </c>
      <c r="F16" s="69">
        <v>0</v>
      </c>
      <c r="G16" s="69">
        <v>0</v>
      </c>
      <c r="H16" s="69">
        <f>IF($B$4=FALSE,F16,G16)</f>
        <v>0</v>
      </c>
      <c r="I16" s="69">
        <v>0</v>
      </c>
      <c r="J16" s="69">
        <v>0</v>
      </c>
      <c r="K16" s="69">
        <f>IF($B$4=FALSE,I16,J16)</f>
        <v>0</v>
      </c>
    </row>
    <row r="17" spans="1:18" s="18" customFormat="1" x14ac:dyDescent="0.25">
      <c r="A17" s="68" t="s">
        <v>23</v>
      </c>
      <c r="B17" s="68">
        <f t="shared" si="0"/>
        <v>0</v>
      </c>
      <c r="C17" s="69">
        <f>ABS(si*si/cdelta_SSminus*(1-cosinush))</f>
        <v>6.0000080030597571</v>
      </c>
      <c r="D17" s="69">
        <f>si*si/cdelta_SSplus*(1-cosinush)</f>
        <v>2.4999895833906302E-5</v>
      </c>
      <c r="E17" s="69">
        <f>IF($B$4=FALSE,C17,D17)</f>
        <v>6.0000080030597571</v>
      </c>
      <c r="F17" s="69">
        <v>0</v>
      </c>
      <c r="G17" s="69">
        <v>0</v>
      </c>
      <c r="H17" s="69">
        <f>IF($B$4=FALSE,F17,G17)</f>
        <v>0</v>
      </c>
      <c r="I17" s="69">
        <v>0</v>
      </c>
      <c r="J17" s="69">
        <v>0</v>
      </c>
      <c r="K17" s="69">
        <f>IF($B$4=FALSE,I17,J17)</f>
        <v>0</v>
      </c>
    </row>
    <row r="18" spans="1:18" s="18" customFormat="1" x14ac:dyDescent="0.25">
      <c r="A18" s="68" t="s">
        <v>24</v>
      </c>
      <c r="B18" s="68">
        <f t="shared" si="0"/>
        <v>3.0001199999404347</v>
      </c>
      <c r="C18" s="69">
        <f>ABS(si*si*si/cdelta_SSminus*sinush)</f>
        <v>12.000116006119514</v>
      </c>
      <c r="D18" s="69">
        <f>si*si*si/cdelta_SSplus*sinush</f>
        <v>-5.0000208332187407E-5</v>
      </c>
      <c r="E18" s="69">
        <f>IF($B$4=FALSE,C18,D18)</f>
        <v>12.000116006119514</v>
      </c>
      <c r="F18" s="69">
        <f>ABS(si*si*si*cosinush/(sinush-si*cosinush))</f>
        <v>3.0001199999404347</v>
      </c>
      <c r="G18" s="69">
        <f>si*si*si*cosinush/(sinush-si*cosinush)</f>
        <v>-3.0001199999404347</v>
      </c>
      <c r="H18" s="69">
        <f>IF($B$4=FALSE,F18,G18)</f>
        <v>3.0001199999404347</v>
      </c>
      <c r="I18" s="69">
        <f>ABS(si*si*si*cosinush/(sinush-si*cosinush))</f>
        <v>3.0001199999404347</v>
      </c>
      <c r="J18" s="69">
        <f>si*si*si*cosinush/(sinush-si*cosinush)</f>
        <v>-3.0001199999404347</v>
      </c>
      <c r="K18" s="69">
        <f>IF($B$4=FALSE,I18,J18)</f>
        <v>3.0001199999404347</v>
      </c>
    </row>
    <row r="19" spans="1:18" s="3" customFormat="1" x14ac:dyDescent="0.25">
      <c r="A19" s="73"/>
      <c r="B19" s="73"/>
      <c r="C19" s="73"/>
      <c r="D19" s="73"/>
      <c r="E19" s="99"/>
      <c r="F19" s="73"/>
      <c r="G19" s="73"/>
      <c r="H19" s="73"/>
      <c r="I19" s="73"/>
      <c r="J19" s="73"/>
      <c r="K19" s="73"/>
    </row>
    <row r="20" spans="1:18" s="3" customFormat="1" x14ac:dyDescent="0.25">
      <c r="A20" s="73" t="s">
        <v>13</v>
      </c>
      <c r="B20" s="105">
        <f>E*A/L</f>
        <v>79888.924138456117</v>
      </c>
      <c r="C20" s="73"/>
      <c r="D20" s="56"/>
      <c r="E20" s="99"/>
      <c r="F20" s="73"/>
      <c r="G20" s="73"/>
      <c r="H20" s="73"/>
      <c r="I20" s="73"/>
      <c r="J20" s="73"/>
      <c r="K20" s="73"/>
    </row>
    <row r="21" spans="1:18" s="3" customFormat="1" x14ac:dyDescent="0.25">
      <c r="A21" s="73" t="s">
        <v>14</v>
      </c>
      <c r="B21" s="105">
        <f>E*Jz/L</f>
        <v>1241.3966650511029</v>
      </c>
      <c r="C21" s="73"/>
      <c r="D21" s="56"/>
      <c r="E21" s="99"/>
      <c r="F21" s="73"/>
      <c r="G21" s="73"/>
      <c r="H21" s="73"/>
      <c r="I21" s="73"/>
      <c r="J21" s="73"/>
      <c r="K21" s="73"/>
    </row>
    <row r="22" spans="1:18" s="3" customFormat="1" x14ac:dyDescent="0.25">
      <c r="A22" s="73" t="s">
        <v>15</v>
      </c>
      <c r="B22" s="105">
        <f>E*Jz/(L*L)</f>
        <v>87.779999999999987</v>
      </c>
      <c r="C22" s="73"/>
      <c r="D22" s="56"/>
      <c r="E22" s="99"/>
      <c r="F22" s="73"/>
      <c r="G22" s="73"/>
      <c r="H22" s="73"/>
      <c r="I22" s="73"/>
      <c r="J22" s="73"/>
      <c r="K22" s="73"/>
    </row>
    <row r="23" spans="1:18" s="3" customFormat="1" x14ac:dyDescent="0.25">
      <c r="A23" s="73"/>
      <c r="B23" s="73"/>
      <c r="C23" s="73"/>
      <c r="D23" s="56"/>
      <c r="E23" s="99"/>
      <c r="F23" s="73"/>
      <c r="G23" s="73"/>
      <c r="H23" s="73"/>
      <c r="I23" s="73"/>
      <c r="J23" s="73"/>
      <c r="K23" s="73"/>
    </row>
    <row r="24" spans="1:18" x14ac:dyDescent="0.25">
      <c r="A24" s="36" t="s">
        <v>63</v>
      </c>
      <c r="B24" s="56"/>
      <c r="C24" s="36"/>
      <c r="D24" s="56"/>
      <c r="E24" s="99"/>
      <c r="F24" s="36"/>
      <c r="G24" s="36"/>
      <c r="H24" s="36"/>
      <c r="I24" s="36"/>
      <c r="J24" s="36"/>
      <c r="K24" s="36"/>
    </row>
    <row r="25" spans="1:18" x14ac:dyDescent="0.25">
      <c r="A25" s="36"/>
      <c r="B25" s="56"/>
      <c r="C25" s="36"/>
      <c r="D25" s="56"/>
      <c r="E25" s="99"/>
      <c r="F25" s="36"/>
      <c r="G25" s="36"/>
      <c r="H25" s="36"/>
      <c r="I25" s="36"/>
      <c r="J25" s="36"/>
      <c r="K25" s="36"/>
    </row>
    <row r="26" spans="1:18" x14ac:dyDescent="0.25">
      <c r="A26" s="70">
        <f t="shared" ref="A26:F31" si="1">IF(OR($B$11="SS",$B$11="SW",$B$11="WS"),A34,IF($B$11="SP",A44,IF($B$11="PS",A54,IF($B$11="PP",A64))))</f>
        <v>0</v>
      </c>
      <c r="B26" s="70">
        <f t="shared" si="1"/>
        <v>0</v>
      </c>
      <c r="C26" s="70">
        <f t="shared" si="1"/>
        <v>0</v>
      </c>
      <c r="D26" s="70">
        <f t="shared" si="1"/>
        <v>0</v>
      </c>
      <c r="E26" s="70">
        <f t="shared" si="1"/>
        <v>0</v>
      </c>
      <c r="F26" s="70">
        <f t="shared" si="1"/>
        <v>0</v>
      </c>
      <c r="G26" s="106"/>
      <c r="H26" s="107"/>
      <c r="I26" s="107"/>
      <c r="J26" s="107"/>
      <c r="K26" s="107"/>
      <c r="L26" s="21"/>
      <c r="M26" s="21"/>
      <c r="N26" s="2"/>
      <c r="O26" s="2"/>
      <c r="P26" s="2"/>
      <c r="Q26" s="2"/>
      <c r="R26" s="2"/>
    </row>
    <row r="27" spans="1:18" x14ac:dyDescent="0.25">
      <c r="A27" s="70">
        <f t="shared" si="1"/>
        <v>0</v>
      </c>
      <c r="B27" s="70">
        <f t="shared" si="1"/>
        <v>18.621694813395848</v>
      </c>
      <c r="C27" s="70">
        <f t="shared" si="1"/>
        <v>0</v>
      </c>
      <c r="D27" s="70">
        <f t="shared" si="1"/>
        <v>-263.34175559477131</v>
      </c>
      <c r="E27" s="70">
        <f t="shared" si="1"/>
        <v>-18.621694813395848</v>
      </c>
      <c r="F27" s="70">
        <f t="shared" si="1"/>
        <v>0</v>
      </c>
      <c r="G27" s="106"/>
      <c r="H27" s="107"/>
      <c r="I27" s="107"/>
      <c r="J27" s="107"/>
      <c r="K27" s="107"/>
      <c r="L27" s="21"/>
      <c r="M27" s="21"/>
      <c r="N27" s="2"/>
      <c r="O27" s="2"/>
      <c r="P27" s="2"/>
      <c r="Q27" s="2"/>
      <c r="R27" s="2"/>
    </row>
    <row r="28" spans="1:18" x14ac:dyDescent="0.25">
      <c r="A28" s="70">
        <f t="shared" si="1"/>
        <v>0</v>
      </c>
      <c r="B28" s="70">
        <f t="shared" si="1"/>
        <v>0</v>
      </c>
      <c r="C28" s="70">
        <f t="shared" si="1"/>
        <v>79888.924138456117</v>
      </c>
      <c r="D28" s="70">
        <f t="shared" si="1"/>
        <v>0</v>
      </c>
      <c r="E28" s="70">
        <f t="shared" si="1"/>
        <v>0</v>
      </c>
      <c r="F28" s="70">
        <f t="shared" si="1"/>
        <v>-79888.924138456117</v>
      </c>
      <c r="G28" s="106"/>
      <c r="H28" s="107"/>
      <c r="I28" s="107"/>
      <c r="J28" s="107"/>
      <c r="K28" s="107"/>
      <c r="L28" s="21"/>
      <c r="M28" s="21"/>
      <c r="N28" s="2"/>
      <c r="O28" s="2"/>
      <c r="P28" s="2"/>
      <c r="Q28" s="2"/>
      <c r="R28" s="2"/>
    </row>
    <row r="29" spans="1:18" x14ac:dyDescent="0.25">
      <c r="A29" s="70">
        <f t="shared" si="1"/>
        <v>0</v>
      </c>
      <c r="B29" s="70">
        <f t="shared" si="1"/>
        <v>-263.34175559477131</v>
      </c>
      <c r="C29" s="70">
        <f t="shared" si="1"/>
        <v>0</v>
      </c>
      <c r="D29" s="70">
        <f t="shared" si="1"/>
        <v>3724.2148230126654</v>
      </c>
      <c r="E29" s="70">
        <f t="shared" si="1"/>
        <v>263.34175559477131</v>
      </c>
      <c r="F29" s="70">
        <f t="shared" si="1"/>
        <v>0</v>
      </c>
      <c r="G29" s="106"/>
      <c r="H29" s="107"/>
      <c r="I29" s="107"/>
      <c r="J29" s="107"/>
      <c r="K29" s="107"/>
      <c r="L29" s="21"/>
      <c r="M29" s="21"/>
      <c r="N29" s="2"/>
      <c r="O29" s="2"/>
      <c r="P29" s="2"/>
      <c r="Q29" s="2"/>
      <c r="R29" s="2"/>
    </row>
    <row r="30" spans="1:18" x14ac:dyDescent="0.25">
      <c r="A30" s="70">
        <f t="shared" si="1"/>
        <v>0</v>
      </c>
      <c r="B30" s="70">
        <f t="shared" si="1"/>
        <v>-18.621694813395848</v>
      </c>
      <c r="C30" s="70">
        <f t="shared" si="1"/>
        <v>0</v>
      </c>
      <c r="D30" s="70">
        <f t="shared" si="1"/>
        <v>263.34175559477131</v>
      </c>
      <c r="E30" s="70">
        <f t="shared" si="1"/>
        <v>18.621694813395848</v>
      </c>
      <c r="F30" s="70">
        <f t="shared" si="1"/>
        <v>0</v>
      </c>
      <c r="G30" s="106"/>
      <c r="H30" s="107"/>
      <c r="I30" s="107"/>
      <c r="J30" s="107"/>
      <c r="K30" s="107"/>
      <c r="L30" s="21"/>
      <c r="M30" s="21"/>
      <c r="N30" s="2"/>
      <c r="O30" s="2"/>
      <c r="P30" s="2"/>
      <c r="Q30" s="2"/>
      <c r="R30" s="2"/>
    </row>
    <row r="31" spans="1:18" x14ac:dyDescent="0.25">
      <c r="A31" s="70">
        <f t="shared" si="1"/>
        <v>0</v>
      </c>
      <c r="B31" s="70">
        <f t="shared" si="1"/>
        <v>0</v>
      </c>
      <c r="C31" s="70">
        <f t="shared" si="1"/>
        <v>-79888.924138456117</v>
      </c>
      <c r="D31" s="70">
        <f t="shared" si="1"/>
        <v>0</v>
      </c>
      <c r="E31" s="70">
        <f t="shared" si="1"/>
        <v>0</v>
      </c>
      <c r="F31" s="70">
        <f t="shared" si="1"/>
        <v>79888.924138456117</v>
      </c>
      <c r="G31" s="106"/>
      <c r="H31" s="107"/>
      <c r="I31" s="107"/>
      <c r="J31" s="107"/>
      <c r="K31" s="107"/>
      <c r="L31" s="21"/>
      <c r="M31" s="21"/>
      <c r="N31" s="2"/>
      <c r="O31" s="2"/>
      <c r="P31" s="2"/>
      <c r="Q31" s="2"/>
      <c r="R31" s="2"/>
    </row>
    <row r="32" spans="1:18" x14ac:dyDescent="0.25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</row>
    <row r="33" spans="1:11" x14ac:dyDescent="0.25">
      <c r="A33" s="99" t="s">
        <v>29</v>
      </c>
      <c r="B33" s="56"/>
      <c r="C33" s="36"/>
      <c r="D33" s="56"/>
      <c r="E33" s="99"/>
      <c r="F33" s="36"/>
      <c r="G33" s="36"/>
      <c r="H33" s="36"/>
      <c r="I33" s="36"/>
      <c r="J33" s="36"/>
      <c r="K33" s="36"/>
    </row>
    <row r="34" spans="1:11" s="14" customFormat="1" x14ac:dyDescent="0.25">
      <c r="A34" s="71">
        <f>p2_*alpha</f>
        <v>3724.2148230126654</v>
      </c>
      <c r="B34" s="67">
        <f>p2_*(-upsilon/L)</f>
        <v>0</v>
      </c>
      <c r="C34" s="67">
        <v>0</v>
      </c>
      <c r="D34" s="67">
        <f>p2_*beta</f>
        <v>0</v>
      </c>
      <c r="E34" s="67">
        <f>p2_*upsilon/L</f>
        <v>0</v>
      </c>
      <c r="F34" s="67">
        <v>0</v>
      </c>
      <c r="G34" s="93"/>
      <c r="H34" s="93"/>
      <c r="I34" s="93"/>
      <c r="J34" s="93"/>
      <c r="K34" s="93"/>
    </row>
    <row r="35" spans="1:11" s="14" customFormat="1" x14ac:dyDescent="0.25">
      <c r="A35" s="67">
        <f>p3_*(-upsilon)</f>
        <v>0</v>
      </c>
      <c r="B35" s="67">
        <f>p3_*delta/L</f>
        <v>18.621694813395848</v>
      </c>
      <c r="C35" s="67">
        <v>0</v>
      </c>
      <c r="D35" s="67">
        <f>p3_*(-upsilon)</f>
        <v>0</v>
      </c>
      <c r="E35" s="67">
        <f>p3_*(-delta/L)</f>
        <v>-18.621694813395848</v>
      </c>
      <c r="F35" s="67">
        <v>0</v>
      </c>
      <c r="G35" s="93"/>
      <c r="H35" s="93"/>
      <c r="I35" s="93"/>
      <c r="J35" s="93"/>
      <c r="K35" s="93"/>
    </row>
    <row r="36" spans="1:11" s="14" customFormat="1" x14ac:dyDescent="0.25">
      <c r="A36" s="67">
        <v>0</v>
      </c>
      <c r="B36" s="67">
        <v>0</v>
      </c>
      <c r="C36" s="67">
        <f>p1_</f>
        <v>79888.924138456117</v>
      </c>
      <c r="D36" s="67">
        <v>0</v>
      </c>
      <c r="E36" s="67">
        <v>0</v>
      </c>
      <c r="F36" s="67">
        <f>-p1_</f>
        <v>-79888.924138456117</v>
      </c>
      <c r="G36" s="93"/>
      <c r="H36" s="93"/>
      <c r="I36" s="93"/>
      <c r="J36" s="93"/>
      <c r="K36" s="93"/>
    </row>
    <row r="37" spans="1:11" s="14" customFormat="1" x14ac:dyDescent="0.25">
      <c r="A37" s="67">
        <f>p2_*beta</f>
        <v>0</v>
      </c>
      <c r="B37" s="67">
        <f>p2_*(-upsilon/L)</f>
        <v>0</v>
      </c>
      <c r="C37" s="67">
        <v>0</v>
      </c>
      <c r="D37" s="67">
        <f>p2_*alpha</f>
        <v>3724.2148230126654</v>
      </c>
      <c r="E37" s="67">
        <f>p2_*upsilon/L</f>
        <v>0</v>
      </c>
      <c r="F37" s="67">
        <v>0</v>
      </c>
      <c r="G37" s="93"/>
      <c r="H37" s="93"/>
      <c r="I37" s="93"/>
      <c r="J37" s="93"/>
      <c r="K37" s="93"/>
    </row>
    <row r="38" spans="1:11" s="14" customFormat="1" x14ac:dyDescent="0.25">
      <c r="A38" s="67">
        <f>p3_*upsilon</f>
        <v>0</v>
      </c>
      <c r="B38" s="67">
        <f>p3_*(-delta/L)</f>
        <v>-18.621694813395848</v>
      </c>
      <c r="C38" s="67">
        <v>0</v>
      </c>
      <c r="D38" s="67">
        <f>p3_*upsilon</f>
        <v>0</v>
      </c>
      <c r="E38" s="67">
        <f>p3_*delta/L</f>
        <v>18.621694813395848</v>
      </c>
      <c r="F38" s="67">
        <v>0</v>
      </c>
      <c r="G38" s="93"/>
      <c r="H38" s="93"/>
      <c r="I38" s="93"/>
      <c r="J38" s="93"/>
      <c r="K38" s="93"/>
    </row>
    <row r="39" spans="1:11" s="14" customFormat="1" x14ac:dyDescent="0.25">
      <c r="A39" s="67">
        <v>0</v>
      </c>
      <c r="B39" s="67">
        <v>0</v>
      </c>
      <c r="C39" s="67">
        <f>-p1_</f>
        <v>-79888.924138456117</v>
      </c>
      <c r="D39" s="67">
        <v>0</v>
      </c>
      <c r="E39" s="67">
        <v>0</v>
      </c>
      <c r="F39" s="67">
        <f>p1_</f>
        <v>79888.924138456117</v>
      </c>
      <c r="G39" s="93"/>
      <c r="H39" s="93"/>
      <c r="I39" s="93"/>
      <c r="J39" s="93"/>
      <c r="K39" s="93"/>
    </row>
    <row r="40" spans="1:11" s="14" customFormat="1" x14ac:dyDescent="0.25">
      <c r="A40" s="93"/>
      <c r="B40" s="93"/>
      <c r="C40" s="93"/>
      <c r="D40" s="93"/>
      <c r="E40" s="93"/>
      <c r="F40" s="93"/>
      <c r="G40" s="93"/>
      <c r="H40" s="93"/>
      <c r="I40" s="93"/>
      <c r="J40" s="93"/>
      <c r="K40" s="93"/>
    </row>
    <row r="41" spans="1:11" s="14" customFormat="1" x14ac:dyDescent="0.25">
      <c r="A41" s="93"/>
      <c r="B41" s="93"/>
      <c r="C41" s="93"/>
      <c r="D41" s="93"/>
      <c r="E41" s="93"/>
      <c r="F41" s="93"/>
      <c r="G41" s="93"/>
      <c r="H41" s="93"/>
      <c r="I41" s="93"/>
      <c r="J41" s="93"/>
      <c r="K41" s="93"/>
    </row>
    <row r="42" spans="1:11" s="14" customFormat="1" x14ac:dyDescent="0.25">
      <c r="A42" s="93"/>
      <c r="B42" s="93"/>
      <c r="C42" s="93"/>
      <c r="D42" s="93"/>
      <c r="E42" s="93"/>
      <c r="F42" s="93"/>
      <c r="G42" s="93"/>
      <c r="H42" s="93"/>
      <c r="I42" s="93"/>
      <c r="J42" s="93"/>
      <c r="K42" s="93"/>
    </row>
    <row r="43" spans="1:11" s="14" customFormat="1" x14ac:dyDescent="0.25">
      <c r="A43" s="108" t="s">
        <v>32</v>
      </c>
      <c r="B43" s="93"/>
      <c r="C43" s="93"/>
      <c r="D43" s="93"/>
      <c r="E43" s="93"/>
      <c r="F43" s="93"/>
      <c r="G43" s="93"/>
      <c r="H43" s="93"/>
      <c r="I43" s="93"/>
      <c r="J43" s="93"/>
      <c r="K43" s="93"/>
    </row>
    <row r="44" spans="1:11" s="14" customFormat="1" x14ac:dyDescent="0.25">
      <c r="A44" s="67">
        <f>p2_*alpha</f>
        <v>3724.2148230126654</v>
      </c>
      <c r="B44" s="67">
        <f>p2_*(-alpha/L)</f>
        <v>-263.34175559477137</v>
      </c>
      <c r="C44" s="67">
        <v>0</v>
      </c>
      <c r="D44" s="67">
        <v>0</v>
      </c>
      <c r="E44" s="67">
        <f>p2_*alpha/L</f>
        <v>263.34175559477137</v>
      </c>
      <c r="F44" s="67">
        <v>0</v>
      </c>
      <c r="G44" s="93"/>
      <c r="H44" s="93"/>
      <c r="I44" s="93"/>
      <c r="J44" s="93"/>
      <c r="K44" s="93"/>
    </row>
    <row r="45" spans="1:11" s="14" customFormat="1" x14ac:dyDescent="0.25">
      <c r="A45" s="67">
        <f>p3_*(-alpha)</f>
        <v>-263.34175559477131</v>
      </c>
      <c r="B45" s="67">
        <f>p3_*delta/L</f>
        <v>18.621694813395848</v>
      </c>
      <c r="C45" s="67">
        <v>0</v>
      </c>
      <c r="D45" s="67">
        <v>0</v>
      </c>
      <c r="E45" s="67">
        <f>p3_*(-delta/L)</f>
        <v>-18.621694813395848</v>
      </c>
      <c r="F45" s="67">
        <v>0</v>
      </c>
      <c r="G45" s="93"/>
      <c r="H45" s="93"/>
      <c r="I45" s="93"/>
      <c r="J45" s="93"/>
      <c r="K45" s="93"/>
    </row>
    <row r="46" spans="1:11" s="14" customFormat="1" x14ac:dyDescent="0.25">
      <c r="A46" s="67">
        <v>0</v>
      </c>
      <c r="B46" s="67">
        <v>0</v>
      </c>
      <c r="C46" s="67">
        <f>p1_</f>
        <v>79888.924138456117</v>
      </c>
      <c r="D46" s="67">
        <v>0</v>
      </c>
      <c r="E46" s="67">
        <v>0</v>
      </c>
      <c r="F46" s="67">
        <f>-p1_</f>
        <v>-79888.924138456117</v>
      </c>
      <c r="G46" s="93"/>
      <c r="H46" s="93"/>
      <c r="I46" s="93"/>
      <c r="J46" s="93"/>
      <c r="K46" s="93"/>
    </row>
    <row r="47" spans="1:11" s="14" customFormat="1" x14ac:dyDescent="0.25">
      <c r="A47" s="67">
        <v>0</v>
      </c>
      <c r="B47" s="67">
        <v>0</v>
      </c>
      <c r="C47" s="67">
        <v>0</v>
      </c>
      <c r="D47" s="67">
        <v>0</v>
      </c>
      <c r="E47" s="67">
        <v>0</v>
      </c>
      <c r="F47" s="67">
        <v>0</v>
      </c>
      <c r="G47" s="93"/>
      <c r="H47" s="93"/>
      <c r="I47" s="93"/>
      <c r="J47" s="93"/>
      <c r="K47" s="93"/>
    </row>
    <row r="48" spans="1:11" s="14" customFormat="1" x14ac:dyDescent="0.25">
      <c r="A48" s="67">
        <f>p3_*alpha</f>
        <v>263.34175559477131</v>
      </c>
      <c r="B48" s="67">
        <f>p3_*(-delta/L)</f>
        <v>-18.621694813395848</v>
      </c>
      <c r="C48" s="67">
        <v>0</v>
      </c>
      <c r="D48" s="67">
        <v>0</v>
      </c>
      <c r="E48" s="67">
        <f>p3_*delta/L</f>
        <v>18.621694813395848</v>
      </c>
      <c r="F48" s="67">
        <v>0</v>
      </c>
      <c r="G48" s="93"/>
      <c r="H48" s="93"/>
      <c r="I48" s="93"/>
      <c r="J48" s="93"/>
      <c r="K48" s="93"/>
    </row>
    <row r="49" spans="1:11" s="14" customFormat="1" x14ac:dyDescent="0.25">
      <c r="A49" s="67">
        <v>0</v>
      </c>
      <c r="B49" s="67">
        <v>0</v>
      </c>
      <c r="C49" s="67">
        <f>-p1_</f>
        <v>-79888.924138456117</v>
      </c>
      <c r="D49" s="67">
        <v>0</v>
      </c>
      <c r="E49" s="67">
        <v>0</v>
      </c>
      <c r="F49" s="67">
        <f>p1_</f>
        <v>79888.924138456117</v>
      </c>
      <c r="G49" s="93"/>
      <c r="H49" s="93"/>
      <c r="I49" s="93"/>
      <c r="J49" s="93"/>
      <c r="K49" s="93"/>
    </row>
    <row r="50" spans="1:11" s="16" customFormat="1" x14ac:dyDescent="0.25">
      <c r="A50" s="109"/>
      <c r="B50" s="93"/>
      <c r="C50" s="109"/>
      <c r="D50" s="93"/>
      <c r="E50" s="108"/>
      <c r="F50" s="109"/>
      <c r="G50" s="109"/>
      <c r="H50" s="109"/>
      <c r="I50" s="109"/>
      <c r="J50" s="109"/>
      <c r="K50" s="109"/>
    </row>
    <row r="51" spans="1:11" x14ac:dyDescent="0.25">
      <c r="A51" s="36"/>
      <c r="B51" s="56"/>
      <c r="C51" s="36"/>
      <c r="D51" s="56"/>
      <c r="E51" s="99"/>
      <c r="F51" s="36"/>
      <c r="G51" s="36"/>
      <c r="H51" s="36"/>
      <c r="I51" s="36"/>
      <c r="J51" s="36"/>
      <c r="K51" s="36"/>
    </row>
    <row r="52" spans="1:11" x14ac:dyDescent="0.25">
      <c r="A52" s="36"/>
      <c r="B52" s="56"/>
      <c r="C52" s="36"/>
      <c r="D52" s="56"/>
      <c r="E52" s="99"/>
      <c r="F52" s="36"/>
      <c r="G52" s="36"/>
      <c r="H52" s="36"/>
      <c r="I52" s="36"/>
      <c r="J52" s="36"/>
      <c r="K52" s="36"/>
    </row>
    <row r="53" spans="1:11" s="7" customFormat="1" x14ac:dyDescent="0.25">
      <c r="A53" s="99" t="s">
        <v>37</v>
      </c>
      <c r="B53" s="56"/>
      <c r="C53" s="56"/>
      <c r="D53" s="56"/>
      <c r="E53" s="56"/>
      <c r="F53" s="56"/>
      <c r="G53" s="56"/>
      <c r="H53" s="56"/>
      <c r="I53" s="56"/>
      <c r="J53" s="56"/>
      <c r="K53" s="56"/>
    </row>
    <row r="54" spans="1:11" s="19" customFormat="1" x14ac:dyDescent="0.25">
      <c r="A54" s="72">
        <v>0</v>
      </c>
      <c r="B54" s="72">
        <v>0</v>
      </c>
      <c r="C54" s="72">
        <v>0</v>
      </c>
      <c r="D54" s="72">
        <v>0</v>
      </c>
      <c r="E54" s="72">
        <v>0</v>
      </c>
      <c r="F54" s="72">
        <v>0</v>
      </c>
      <c r="G54" s="110"/>
      <c r="H54" s="110"/>
      <c r="I54" s="110"/>
      <c r="J54" s="110"/>
      <c r="K54" s="110"/>
    </row>
    <row r="55" spans="1:11" s="19" customFormat="1" x14ac:dyDescent="0.25">
      <c r="A55" s="72">
        <v>0</v>
      </c>
      <c r="B55" s="72">
        <f>p3_*delta/L</f>
        <v>18.621694813395848</v>
      </c>
      <c r="C55" s="72">
        <v>0</v>
      </c>
      <c r="D55" s="72">
        <f>p3_*(-alpha)</f>
        <v>-263.34175559477131</v>
      </c>
      <c r="E55" s="72">
        <f>p3_*(-delta/L)</f>
        <v>-18.621694813395848</v>
      </c>
      <c r="F55" s="72">
        <v>0</v>
      </c>
      <c r="G55" s="110"/>
      <c r="H55" s="110"/>
      <c r="I55" s="110"/>
      <c r="J55" s="110"/>
      <c r="K55" s="110"/>
    </row>
    <row r="56" spans="1:11" s="19" customFormat="1" x14ac:dyDescent="0.25">
      <c r="A56" s="72">
        <v>0</v>
      </c>
      <c r="B56" s="72">
        <v>0</v>
      </c>
      <c r="C56" s="72">
        <f>p1_</f>
        <v>79888.924138456117</v>
      </c>
      <c r="D56" s="72">
        <v>0</v>
      </c>
      <c r="E56" s="72">
        <v>0</v>
      </c>
      <c r="F56" s="72">
        <f>-p1_</f>
        <v>-79888.924138456117</v>
      </c>
      <c r="G56" s="110"/>
      <c r="H56" s="110"/>
      <c r="I56" s="110"/>
      <c r="J56" s="110"/>
      <c r="K56" s="110"/>
    </row>
    <row r="57" spans="1:11" s="19" customFormat="1" x14ac:dyDescent="0.25">
      <c r="A57" s="72">
        <v>0</v>
      </c>
      <c r="B57" s="72">
        <f>p3_*(-alpha)</f>
        <v>-263.34175559477131</v>
      </c>
      <c r="C57" s="72">
        <v>0</v>
      </c>
      <c r="D57" s="72">
        <f>p2_*alpha</f>
        <v>3724.2148230126654</v>
      </c>
      <c r="E57" s="72">
        <f>p3_*alpha</f>
        <v>263.34175559477131</v>
      </c>
      <c r="F57" s="72">
        <v>0</v>
      </c>
      <c r="G57" s="110"/>
      <c r="H57" s="110"/>
      <c r="I57" s="110"/>
      <c r="J57" s="110"/>
      <c r="K57" s="110"/>
    </row>
    <row r="58" spans="1:11" s="19" customFormat="1" x14ac:dyDescent="0.25">
      <c r="A58" s="72">
        <v>0</v>
      </c>
      <c r="B58" s="72">
        <f>p3_*(-delta/L)</f>
        <v>-18.621694813395848</v>
      </c>
      <c r="C58" s="72">
        <v>0</v>
      </c>
      <c r="D58" s="72">
        <f>p3_*alpha</f>
        <v>263.34175559477131</v>
      </c>
      <c r="E58" s="72">
        <f>p3_*delta/L</f>
        <v>18.621694813395848</v>
      </c>
      <c r="F58" s="72">
        <v>0</v>
      </c>
      <c r="G58" s="110"/>
      <c r="H58" s="110"/>
      <c r="I58" s="110"/>
      <c r="J58" s="110"/>
      <c r="K58" s="110"/>
    </row>
    <row r="59" spans="1:11" s="19" customFormat="1" x14ac:dyDescent="0.25">
      <c r="A59" s="72">
        <v>0</v>
      </c>
      <c r="B59" s="72">
        <v>0</v>
      </c>
      <c r="C59" s="72">
        <f>-p1_</f>
        <v>-79888.924138456117</v>
      </c>
      <c r="D59" s="72">
        <v>0</v>
      </c>
      <c r="E59" s="72">
        <v>0</v>
      </c>
      <c r="F59" s="72">
        <f>p1_</f>
        <v>79888.924138456117</v>
      </c>
      <c r="G59" s="110"/>
      <c r="H59" s="110"/>
      <c r="I59" s="110"/>
      <c r="J59" s="110"/>
      <c r="K59" s="110"/>
    </row>
    <row r="60" spans="1:11" s="7" customFormat="1" x14ac:dyDescent="0.25">
      <c r="A60" s="56"/>
      <c r="B60" s="56"/>
      <c r="C60" s="56"/>
      <c r="D60" s="56"/>
      <c r="E60" s="56"/>
      <c r="F60" s="56"/>
      <c r="G60" s="56"/>
      <c r="H60" s="56"/>
      <c r="I60" s="56"/>
      <c r="J60" s="56"/>
      <c r="K60" s="56"/>
    </row>
    <row r="61" spans="1:11" s="7" customFormat="1" x14ac:dyDescent="0.25">
      <c r="A61" s="56"/>
      <c r="B61" s="56"/>
      <c r="C61" s="56"/>
      <c r="D61" s="56"/>
      <c r="E61" s="56"/>
      <c r="F61" s="56"/>
      <c r="G61" s="56"/>
      <c r="H61" s="56"/>
      <c r="I61" s="56"/>
      <c r="J61" s="56"/>
      <c r="K61" s="56"/>
    </row>
    <row r="62" spans="1:11" x14ac:dyDescent="0.25">
      <c r="A62" s="36"/>
      <c r="B62" s="56"/>
      <c r="C62" s="36"/>
      <c r="D62" s="56"/>
      <c r="E62" s="99"/>
      <c r="F62" s="36"/>
      <c r="G62" s="36"/>
      <c r="H62" s="36"/>
      <c r="I62" s="36"/>
      <c r="J62" s="36"/>
      <c r="K62" s="36"/>
    </row>
    <row r="63" spans="1:11" x14ac:dyDescent="0.25">
      <c r="A63" s="36" t="s">
        <v>38</v>
      </c>
      <c r="B63" s="56"/>
      <c r="C63" s="36"/>
      <c r="D63" s="56"/>
      <c r="E63" s="99"/>
      <c r="F63" s="36"/>
      <c r="G63" s="36"/>
      <c r="H63" s="36"/>
      <c r="I63" s="36"/>
      <c r="J63" s="36"/>
      <c r="K63" s="36"/>
    </row>
    <row r="64" spans="1:11" s="14" customFormat="1" x14ac:dyDescent="0.25">
      <c r="A64" s="67">
        <v>0</v>
      </c>
      <c r="B64" s="67">
        <v>0</v>
      </c>
      <c r="C64" s="67">
        <v>0</v>
      </c>
      <c r="D64" s="67">
        <v>0</v>
      </c>
      <c r="E64" s="67">
        <v>0</v>
      </c>
      <c r="F64" s="67">
        <v>0</v>
      </c>
      <c r="G64" s="93"/>
      <c r="H64" s="93"/>
      <c r="I64" s="93"/>
      <c r="J64" s="93"/>
      <c r="K64" s="93"/>
    </row>
    <row r="65" spans="1:11" s="14" customFormat="1" x14ac:dyDescent="0.25">
      <c r="A65" s="67">
        <v>0</v>
      </c>
      <c r="B65" s="67">
        <f>-p3_*si*si/L</f>
        <v>-6.206983325255513E-4</v>
      </c>
      <c r="C65" s="67">
        <v>0</v>
      </c>
      <c r="D65" s="67">
        <v>0</v>
      </c>
      <c r="E65" s="67">
        <f>p3_*si*si/L</f>
        <v>6.206983325255513E-4</v>
      </c>
      <c r="F65" s="67">
        <v>0</v>
      </c>
      <c r="G65" s="93"/>
      <c r="H65" s="93"/>
      <c r="I65" s="93"/>
      <c r="J65" s="93"/>
      <c r="K65" s="93"/>
    </row>
    <row r="66" spans="1:11" s="14" customFormat="1" x14ac:dyDescent="0.25">
      <c r="A66" s="67">
        <v>0</v>
      </c>
      <c r="B66" s="67">
        <v>0</v>
      </c>
      <c r="C66" s="67">
        <f>p1_</f>
        <v>79888.924138456117</v>
      </c>
      <c r="D66" s="67">
        <v>0</v>
      </c>
      <c r="E66" s="67">
        <v>0</v>
      </c>
      <c r="F66" s="67">
        <f>-p1_</f>
        <v>-79888.924138456117</v>
      </c>
      <c r="G66" s="93"/>
      <c r="H66" s="93"/>
      <c r="I66" s="93"/>
      <c r="J66" s="93"/>
      <c r="K66" s="93"/>
    </row>
    <row r="67" spans="1:11" s="14" customFormat="1" x14ac:dyDescent="0.25">
      <c r="A67" s="67">
        <v>0</v>
      </c>
      <c r="B67" s="67">
        <v>0</v>
      </c>
      <c r="C67" s="67">
        <v>0</v>
      </c>
      <c r="D67" s="67">
        <v>0</v>
      </c>
      <c r="E67" s="67">
        <v>0</v>
      </c>
      <c r="F67" s="67">
        <v>0</v>
      </c>
      <c r="G67" s="93"/>
      <c r="H67" s="93"/>
      <c r="I67" s="93"/>
      <c r="J67" s="93"/>
      <c r="K67" s="93"/>
    </row>
    <row r="68" spans="1:11" s="14" customFormat="1" x14ac:dyDescent="0.25">
      <c r="A68" s="67">
        <v>0</v>
      </c>
      <c r="B68" s="67">
        <f>p3_*si*si/L</f>
        <v>6.206983325255513E-4</v>
      </c>
      <c r="C68" s="67">
        <v>0</v>
      </c>
      <c r="D68" s="67">
        <v>0</v>
      </c>
      <c r="E68" s="67">
        <f>-p3_*si*si/L</f>
        <v>-6.206983325255513E-4</v>
      </c>
      <c r="F68" s="67">
        <v>0</v>
      </c>
      <c r="G68" s="93"/>
      <c r="H68" s="93"/>
      <c r="I68" s="93"/>
      <c r="J68" s="93"/>
      <c r="K68" s="93"/>
    </row>
    <row r="69" spans="1:11" s="14" customFormat="1" x14ac:dyDescent="0.25">
      <c r="A69" s="67">
        <v>0</v>
      </c>
      <c r="B69" s="67">
        <v>0</v>
      </c>
      <c r="C69" s="67">
        <f>-p1_</f>
        <v>-79888.924138456117</v>
      </c>
      <c r="D69" s="67">
        <v>0</v>
      </c>
      <c r="E69" s="67">
        <v>0</v>
      </c>
      <c r="F69" s="67">
        <f>p1_</f>
        <v>79888.924138456117</v>
      </c>
      <c r="G69" s="93"/>
      <c r="H69" s="93"/>
      <c r="I69" s="93"/>
      <c r="J69" s="93"/>
      <c r="K69" s="93"/>
    </row>
    <row r="70" spans="1:11" s="14" customFormat="1" x14ac:dyDescent="0.25">
      <c r="A70" s="111"/>
      <c r="B70" s="111"/>
      <c r="C70" s="111"/>
      <c r="D70" s="63"/>
      <c r="E70" s="63"/>
      <c r="F70" s="63"/>
      <c r="G70" s="63"/>
      <c r="H70" s="63"/>
      <c r="I70" s="63"/>
      <c r="J70" s="63"/>
      <c r="K70" s="63"/>
    </row>
    <row r="71" spans="1:11" s="14" customFormat="1" x14ac:dyDescent="0.25">
      <c r="A71" s="111"/>
      <c r="B71" s="111"/>
      <c r="C71" s="111"/>
      <c r="D71" s="63"/>
      <c r="E71" s="63"/>
      <c r="F71" s="63"/>
      <c r="G71" s="63"/>
      <c r="H71" s="63"/>
      <c r="I71" s="63"/>
      <c r="J71" s="63"/>
      <c r="K71" s="63"/>
    </row>
    <row r="72" spans="1:11" s="11" customFormat="1" x14ac:dyDescent="0.25">
      <c r="A72" s="112"/>
      <c r="B72" s="112"/>
      <c r="C72" s="112"/>
      <c r="D72" s="113"/>
      <c r="E72" s="113"/>
      <c r="F72" s="113"/>
      <c r="G72" s="113"/>
      <c r="H72" s="113"/>
      <c r="I72" s="113"/>
      <c r="J72" s="113"/>
      <c r="K72" s="113"/>
    </row>
    <row r="73" spans="1:11" s="11" customFormat="1" x14ac:dyDescent="0.25">
      <c r="A73" s="112"/>
      <c r="B73" s="112"/>
      <c r="C73" s="112"/>
      <c r="D73" s="113"/>
      <c r="E73" s="113"/>
      <c r="F73" s="113"/>
      <c r="G73" s="113"/>
      <c r="H73" s="113"/>
      <c r="I73" s="113"/>
      <c r="J73" s="113"/>
      <c r="K73" s="113"/>
    </row>
    <row r="74" spans="1:11" s="11" customFormat="1" x14ac:dyDescent="0.25">
      <c r="A74" s="112"/>
      <c r="B74" s="112"/>
      <c r="C74" s="112"/>
      <c r="D74" s="113"/>
      <c r="E74" s="113"/>
      <c r="F74" s="113"/>
      <c r="G74" s="113"/>
      <c r="H74" s="113"/>
      <c r="I74" s="113"/>
      <c r="J74" s="113"/>
      <c r="K74" s="113"/>
    </row>
    <row r="75" spans="1:11" s="11" customFormat="1" x14ac:dyDescent="0.25">
      <c r="A75" s="112"/>
      <c r="B75" s="112"/>
      <c r="C75" s="112"/>
      <c r="D75" s="113"/>
      <c r="E75" s="113"/>
      <c r="F75" s="113"/>
      <c r="G75" s="113"/>
      <c r="H75" s="113"/>
      <c r="I75" s="113"/>
      <c r="J75" s="113"/>
      <c r="K75" s="113"/>
    </row>
  </sheetData>
  <dataConsolidate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6A658-95BA-4BEE-B3AB-28E5E4DA728C}">
  <sheetPr codeName="Arkusz10"/>
  <dimension ref="A1:R62"/>
  <sheetViews>
    <sheetView zoomScaleNormal="100" workbookViewId="0"/>
  </sheetViews>
  <sheetFormatPr defaultRowHeight="15" x14ac:dyDescent="0.25"/>
  <cols>
    <col min="1" max="1" width="14.7109375" customWidth="1"/>
    <col min="2" max="2" width="14.7109375" style="7" customWidth="1"/>
    <col min="3" max="3" width="14.7109375" customWidth="1"/>
    <col min="4" max="4" width="14.7109375" style="7" customWidth="1"/>
    <col min="5" max="5" width="14.7109375" style="6" customWidth="1"/>
    <col min="6" max="13" width="14.7109375" customWidth="1"/>
  </cols>
  <sheetData>
    <row r="1" spans="1:18" s="3" customFormat="1" x14ac:dyDescent="0.25">
      <c r="A1" s="80" t="s">
        <v>83</v>
      </c>
      <c r="B1" s="79">
        <v>1</v>
      </c>
      <c r="C1" s="80"/>
      <c r="D1" s="81"/>
      <c r="E1" s="82"/>
      <c r="F1" s="80"/>
      <c r="G1" s="80"/>
      <c r="H1" s="80"/>
      <c r="I1" s="80"/>
      <c r="J1" s="80"/>
      <c r="K1" s="80"/>
      <c r="L1" s="80"/>
      <c r="M1" s="80"/>
    </row>
    <row r="2" spans="1:18" s="9" customFormat="1" x14ac:dyDescent="0.25">
      <c r="A2" s="83"/>
      <c r="B2" s="84"/>
      <c r="C2" s="85"/>
      <c r="D2" s="86"/>
      <c r="E2" s="87"/>
      <c r="F2" s="41"/>
      <c r="G2" s="41"/>
      <c r="H2" s="85"/>
      <c r="I2" s="83"/>
      <c r="J2" s="83"/>
      <c r="K2" s="83"/>
      <c r="L2" s="83"/>
      <c r="M2" s="83"/>
    </row>
    <row r="3" spans="1:18" s="9" customFormat="1" x14ac:dyDescent="0.25">
      <c r="A3" s="83" t="s">
        <v>11</v>
      </c>
      <c r="B3" s="84" cm="1">
        <f t="array" ref="B3">INDEX('Members geometry'!B1:O22,10,B1)</f>
        <v>0.70710678118654746</v>
      </c>
      <c r="C3" s="85"/>
      <c r="D3" s="86"/>
      <c r="E3" s="87"/>
      <c r="F3" s="41"/>
      <c r="G3" s="41"/>
      <c r="H3" s="85"/>
      <c r="I3" s="83"/>
      <c r="J3" s="83"/>
      <c r="K3" s="83"/>
      <c r="L3" s="83"/>
      <c r="M3" s="83"/>
    </row>
    <row r="4" spans="1:18" s="9" customFormat="1" x14ac:dyDescent="0.25">
      <c r="A4" s="83" t="s">
        <v>12</v>
      </c>
      <c r="B4" s="84" cm="1">
        <f t="array" ref="B4">INDEX('Members geometry'!B1:O22,11,B1)</f>
        <v>0.70710678118654746</v>
      </c>
      <c r="C4" s="83"/>
      <c r="D4" s="88"/>
      <c r="E4" s="89"/>
      <c r="F4" s="83"/>
      <c r="G4" s="83"/>
      <c r="H4" s="83"/>
      <c r="I4" s="83"/>
      <c r="J4" s="83"/>
      <c r="K4" s="83"/>
      <c r="L4" s="83"/>
      <c r="M4" s="83"/>
    </row>
    <row r="5" spans="1:18" s="9" customFormat="1" x14ac:dyDescent="0.25">
      <c r="A5" s="83" t="s">
        <v>61</v>
      </c>
      <c r="B5" s="86" cm="1">
        <f t="array" ref="B5">INDEX(Members!$B$5:$O$5,1,$B$1)</f>
        <v>1</v>
      </c>
      <c r="C5" s="83"/>
      <c r="D5" s="88"/>
      <c r="E5" s="89"/>
      <c r="F5" s="83"/>
      <c r="G5" s="83"/>
      <c r="H5" s="83"/>
      <c r="I5" s="83"/>
      <c r="J5" s="83"/>
      <c r="K5" s="83"/>
      <c r="L5" s="83"/>
      <c r="M5" s="83"/>
    </row>
    <row r="6" spans="1:18" s="9" customFormat="1" x14ac:dyDescent="0.25">
      <c r="A6" s="83" t="s">
        <v>62</v>
      </c>
      <c r="B6" s="86" cm="1">
        <f t="array" ref="B6">INDEX(Members!$B$6:$O$6,1,$B$1)</f>
        <v>2</v>
      </c>
      <c r="C6" s="83"/>
      <c r="D6" s="88"/>
      <c r="E6" s="89"/>
      <c r="F6" s="83"/>
      <c r="G6" s="83"/>
      <c r="H6" s="83"/>
      <c r="I6" s="83"/>
      <c r="J6" s="83"/>
      <c r="K6" s="83"/>
      <c r="L6" s="83"/>
      <c r="M6" s="83"/>
    </row>
    <row r="7" spans="1:18" s="9" customFormat="1" x14ac:dyDescent="0.25">
      <c r="A7" s="83" t="s">
        <v>59</v>
      </c>
      <c r="B7" s="86">
        <f>(B5-1)*3</f>
        <v>0</v>
      </c>
      <c r="C7" s="83"/>
      <c r="D7" s="88"/>
      <c r="E7" s="89"/>
      <c r="F7" s="83"/>
      <c r="G7" s="83"/>
      <c r="H7" s="83"/>
      <c r="I7" s="83"/>
      <c r="J7" s="83"/>
      <c r="K7" s="83"/>
      <c r="L7" s="83"/>
      <c r="M7" s="83"/>
    </row>
    <row r="8" spans="1:18" s="9" customFormat="1" x14ac:dyDescent="0.25">
      <c r="A8" s="83" t="s">
        <v>60</v>
      </c>
      <c r="B8" s="86">
        <f>(B6-1)*3</f>
        <v>3</v>
      </c>
      <c r="C8" s="83"/>
      <c r="D8" s="88"/>
      <c r="E8" s="89"/>
      <c r="F8" s="83"/>
      <c r="G8" s="83"/>
      <c r="H8" s="83"/>
      <c r="I8" s="83"/>
      <c r="J8" s="83"/>
      <c r="K8" s="83"/>
      <c r="L8" s="83"/>
      <c r="M8" s="83"/>
    </row>
    <row r="9" spans="1:18" s="3" customFormat="1" x14ac:dyDescent="0.25">
      <c r="A9" s="80"/>
      <c r="B9" s="80"/>
      <c r="C9" s="80"/>
      <c r="D9" s="40"/>
      <c r="E9" s="82"/>
      <c r="F9" s="80"/>
      <c r="G9" s="80"/>
      <c r="H9" s="80"/>
      <c r="I9" s="80"/>
      <c r="J9" s="80"/>
      <c r="K9" s="80"/>
      <c r="L9" s="80"/>
      <c r="M9" s="80"/>
    </row>
    <row r="10" spans="1:18" x14ac:dyDescent="0.25">
      <c r="A10" s="41" t="s">
        <v>63</v>
      </c>
      <c r="B10" s="40"/>
      <c r="C10" s="41"/>
      <c r="D10" s="40"/>
      <c r="E10" s="82"/>
      <c r="F10" s="41"/>
      <c r="G10" s="41"/>
      <c r="H10" s="41" t="s">
        <v>64</v>
      </c>
      <c r="I10" s="41"/>
      <c r="J10" s="41"/>
      <c r="K10" s="41"/>
      <c r="L10" s="41"/>
      <c r="M10" s="41"/>
    </row>
    <row r="11" spans="1:18" x14ac:dyDescent="0.25">
      <c r="A11" s="41"/>
      <c r="B11" s="40"/>
      <c r="C11" s="41"/>
      <c r="D11" s="40"/>
      <c r="E11" s="82"/>
      <c r="F11" s="41"/>
      <c r="G11" s="41"/>
      <c r="H11" s="41"/>
      <c r="I11" s="41"/>
      <c r="J11" s="41"/>
      <c r="K11" s="41"/>
      <c r="L11" s="41"/>
      <c r="M11" s="41"/>
    </row>
    <row r="12" spans="1:18" x14ac:dyDescent="0.25">
      <c r="A12" s="90">
        <f>matrix_Ks_elem_loc!A26</f>
        <v>0</v>
      </c>
      <c r="B12" s="90">
        <f>matrix_Ks_elem_loc!B26</f>
        <v>0</v>
      </c>
      <c r="C12" s="90">
        <f>matrix_Ks_elem_loc!C26</f>
        <v>0</v>
      </c>
      <c r="D12" s="90">
        <f>matrix_Ks_elem_loc!D26</f>
        <v>0</v>
      </c>
      <c r="E12" s="90">
        <f>matrix_Ks_elem_loc!E26</f>
        <v>0</v>
      </c>
      <c r="F12" s="90">
        <f>matrix_Ks_elem_loc!F26</f>
        <v>0</v>
      </c>
      <c r="G12" s="91"/>
      <c r="H12" s="90">
        <f>p_1_1</f>
        <v>0</v>
      </c>
      <c r="I12" s="90" cm="1">
        <f t="array" ref="I12">cosinus*p_1_2-sinus*p_1_3</f>
        <v>0</v>
      </c>
      <c r="J12" s="90" cm="1">
        <f t="array" ref="J12">sinus*p_1_2+cosinus*p_1_3</f>
        <v>0</v>
      </c>
      <c r="K12" s="90">
        <f>p_1_4</f>
        <v>0</v>
      </c>
      <c r="L12" s="90" cm="1">
        <f t="array" ref="L12">cosinus*p_1_5-sinus*p_1_6</f>
        <v>0</v>
      </c>
      <c r="M12" s="90" cm="1">
        <f t="array" ref="M12">sinus*p_1_5+cosinus*p_1_6</f>
        <v>0</v>
      </c>
      <c r="N12" s="2"/>
      <c r="O12" s="2"/>
      <c r="P12" s="2"/>
      <c r="Q12" s="2"/>
      <c r="R12" s="2"/>
    </row>
    <row r="13" spans="1:18" x14ac:dyDescent="0.25">
      <c r="A13" s="90">
        <f>matrix_Ks_elem_loc!A27</f>
        <v>0</v>
      </c>
      <c r="B13" s="90">
        <f>matrix_Ks_elem_loc!B27</f>
        <v>18.621694813395848</v>
      </c>
      <c r="C13" s="90">
        <f>matrix_Ks_elem_loc!C27</f>
        <v>0</v>
      </c>
      <c r="D13" s="90">
        <f>matrix_Ks_elem_loc!D27</f>
        <v>-263.34175559477131</v>
      </c>
      <c r="E13" s="90">
        <f>matrix_Ks_elem_loc!E27</f>
        <v>-18.621694813395848</v>
      </c>
      <c r="F13" s="90">
        <f>matrix_Ks_elem_loc!F27</f>
        <v>0</v>
      </c>
      <c r="G13" s="91"/>
      <c r="H13" s="90" cm="1">
        <f t="array" ref="H13">cosinus*p_2_1-sinus*p_3_1</f>
        <v>0</v>
      </c>
      <c r="I13" s="90" cm="1">
        <f t="array" ref="I13">cosinus*(cosinus*p_2_2-sinus*p_2_3)-sinus*(cosinus*p_3_2-sinus*p_3_3)</f>
        <v>39953.772916634749</v>
      </c>
      <c r="J13" s="90" cm="1">
        <f t="array" ref="J13">cosinus*(sinus*p_2_2+cosinus*p_2_3)-sinus*(sinus*p_3_2+cosinus*p_3_3)</f>
        <v>-39935.151221821354</v>
      </c>
      <c r="K13" s="90" cm="1">
        <f t="array" ref="K13">cosinus*p_2_4-sinus*p_3_4</f>
        <v>-186.21074115063323</v>
      </c>
      <c r="L13" s="90" cm="1">
        <f t="array" ref="L13">cosinus*(cosinus*p_2_5-sinus*p_2_6)-sinus*(cosinus*p_3_5-sinus*p_3_6)</f>
        <v>-39953.772916634749</v>
      </c>
      <c r="M13" s="90" cm="1">
        <f t="array" ref="M13">cosinus*(sinus*p_2_5+cosinus*p_2_6)-sinus*(sinus*p_3_5+cosinus*p_3_6)</f>
        <v>39935.151221821354</v>
      </c>
      <c r="N13" s="2"/>
      <c r="O13" s="2"/>
      <c r="P13" s="2"/>
      <c r="Q13" s="2"/>
      <c r="R13" s="2"/>
    </row>
    <row r="14" spans="1:18" x14ac:dyDescent="0.25">
      <c r="A14" s="90">
        <f>matrix_Ks_elem_loc!A28</f>
        <v>0</v>
      </c>
      <c r="B14" s="90">
        <f>matrix_Ks_elem_loc!B28</f>
        <v>0</v>
      </c>
      <c r="C14" s="90">
        <f>matrix_Ks_elem_loc!C28</f>
        <v>79888.924138456117</v>
      </c>
      <c r="D14" s="90">
        <f>matrix_Ks_elem_loc!D28</f>
        <v>0</v>
      </c>
      <c r="E14" s="90">
        <f>matrix_Ks_elem_loc!E28</f>
        <v>0</v>
      </c>
      <c r="F14" s="90">
        <f>matrix_Ks_elem_loc!F28</f>
        <v>-79888.924138456117</v>
      </c>
      <c r="G14" s="91"/>
      <c r="H14" s="90" cm="1">
        <f t="array" ref="H14">sinus*p_2_1+cosinus*p_3_1</f>
        <v>0</v>
      </c>
      <c r="I14" s="90" cm="1">
        <f t="array" ref="I14">sinus*(cosinus*p_2_2-sinus*p_2_3)+cosinus*(cosinus*p_3_2-sinus*p_3_3)</f>
        <v>-39935.151221821354</v>
      </c>
      <c r="J14" s="90" cm="1">
        <f t="array" ref="J14">sinus*(sinus*p_2_2+cosinus*p_2_3)+cosinus*(sinus*p_3_2+cosinus*p_3_3)</f>
        <v>39953.772916634749</v>
      </c>
      <c r="K14" s="90" cm="1">
        <f t="array" ref="K14">sinus*p_2_4+cosinus*p_3_4</f>
        <v>-186.21074115063323</v>
      </c>
      <c r="L14" s="90" cm="1">
        <f t="array" ref="L14">sinus*(cosinus*p_2_5-sinus*p_2_6)+cosinus*(cosinus*p_3_5-sinus*p_3_6)</f>
        <v>39935.151221821354</v>
      </c>
      <c r="M14" s="90" cm="1">
        <f t="array" ref="M14">sinus*(sinus*p_2_5+cosinus*p_2_6)+cosinus*(sinus*p_3_5+cosinus*p_3_6)</f>
        <v>-39953.772916634749</v>
      </c>
      <c r="N14" s="2"/>
      <c r="O14" s="2"/>
      <c r="P14" s="2"/>
      <c r="Q14" s="2"/>
      <c r="R14" s="2"/>
    </row>
    <row r="15" spans="1:18" x14ac:dyDescent="0.25">
      <c r="A15" s="90">
        <f>matrix_Ks_elem_loc!A29</f>
        <v>0</v>
      </c>
      <c r="B15" s="90">
        <f>matrix_Ks_elem_loc!B29</f>
        <v>-263.34175559477131</v>
      </c>
      <c r="C15" s="90">
        <f>matrix_Ks_elem_loc!C29</f>
        <v>0</v>
      </c>
      <c r="D15" s="90">
        <f>matrix_Ks_elem_loc!D29</f>
        <v>3724.2148230126654</v>
      </c>
      <c r="E15" s="90">
        <f>matrix_Ks_elem_loc!E29</f>
        <v>263.34175559477131</v>
      </c>
      <c r="F15" s="90">
        <f>matrix_Ks_elem_loc!F29</f>
        <v>0</v>
      </c>
      <c r="G15" s="91"/>
      <c r="H15" s="90">
        <f>p_4_1</f>
        <v>0</v>
      </c>
      <c r="I15" s="90" cm="1">
        <f t="array" ref="I15">cosinus*p_4_2-sinus*p_4_3</f>
        <v>-186.21074115063323</v>
      </c>
      <c r="J15" s="90" cm="1">
        <f t="array" ref="J15">sinus*p_4_2+cosinus*p_4_3</f>
        <v>-186.21074115063323</v>
      </c>
      <c r="K15" s="90">
        <f>p_4_4</f>
        <v>3724.2148230126654</v>
      </c>
      <c r="L15" s="90" cm="1">
        <f t="array" ref="L15">cosinus*p_4_5-sinus*p_4_6</f>
        <v>186.21074115063323</v>
      </c>
      <c r="M15" s="90" cm="1">
        <f t="array" ref="M15">sinus*p_4_5+cosinus*p_4_6</f>
        <v>186.21074115063323</v>
      </c>
      <c r="N15" s="2"/>
      <c r="O15" s="2"/>
      <c r="P15" s="2"/>
      <c r="Q15" s="2"/>
      <c r="R15" s="2"/>
    </row>
    <row r="16" spans="1:18" x14ac:dyDescent="0.25">
      <c r="A16" s="90">
        <f>matrix_Ks_elem_loc!A30</f>
        <v>0</v>
      </c>
      <c r="B16" s="90">
        <f>matrix_Ks_elem_loc!B30</f>
        <v>-18.621694813395848</v>
      </c>
      <c r="C16" s="90">
        <f>matrix_Ks_elem_loc!C30</f>
        <v>0</v>
      </c>
      <c r="D16" s="90">
        <f>matrix_Ks_elem_loc!D30</f>
        <v>263.34175559477131</v>
      </c>
      <c r="E16" s="90">
        <f>matrix_Ks_elem_loc!E30</f>
        <v>18.621694813395848</v>
      </c>
      <c r="F16" s="90">
        <f>matrix_Ks_elem_loc!F30</f>
        <v>0</v>
      </c>
      <c r="G16" s="91"/>
      <c r="H16" s="90" cm="1">
        <f t="array" ref="H16">cosinus*p_5_1-sinus*p_6_1</f>
        <v>0</v>
      </c>
      <c r="I16" s="90" cm="1">
        <f t="array" ref="I16">cosinus*(cosinus*p_5_2-sinus*p_5_3)-sinus*(cosinus*p_6_2-sinus*p_6_3)</f>
        <v>-39953.772916634749</v>
      </c>
      <c r="J16" s="90" cm="1">
        <f t="array" ref="J16">cosinus*(sinus*p_5_2+cosinus*p_5_3)-sinus*(sinus*p_6_2+cosinus*p_6_3)</f>
        <v>39935.151221821354</v>
      </c>
      <c r="K16" s="90" cm="1">
        <f t="array" ref="K16">cosinus*p_5_4-sinus*p_6_4</f>
        <v>186.21074115063323</v>
      </c>
      <c r="L16" s="90" cm="1">
        <f t="array" ref="L16">cosinus*(cosinus*p_5_5-sinus*p_5_6)-sinus*(cosinus*p_6_5-sinus*p_6_6)</f>
        <v>39953.772916634749</v>
      </c>
      <c r="M16" s="90" cm="1">
        <f t="array" ref="M16">cosinus*(sinus*p_5_5+cosinus*p_5_6)-sinus*(sinus*p_6_5+cosinus*p_6_6)</f>
        <v>-39935.151221821354</v>
      </c>
      <c r="N16" s="2"/>
      <c r="O16" s="2"/>
      <c r="P16" s="2"/>
      <c r="Q16" s="2"/>
      <c r="R16" s="2"/>
    </row>
    <row r="17" spans="1:18" x14ac:dyDescent="0.25">
      <c r="A17" s="90">
        <f>matrix_Ks_elem_loc!A31</f>
        <v>0</v>
      </c>
      <c r="B17" s="90">
        <f>matrix_Ks_elem_loc!B31</f>
        <v>0</v>
      </c>
      <c r="C17" s="90">
        <f>matrix_Ks_elem_loc!C31</f>
        <v>-79888.924138456117</v>
      </c>
      <c r="D17" s="90">
        <f>matrix_Ks_elem_loc!D31</f>
        <v>0</v>
      </c>
      <c r="E17" s="90">
        <f>matrix_Ks_elem_loc!E31</f>
        <v>0</v>
      </c>
      <c r="F17" s="90">
        <f>matrix_Ks_elem_loc!F31</f>
        <v>79888.924138456117</v>
      </c>
      <c r="G17" s="91"/>
      <c r="H17" s="90" cm="1">
        <f t="array" ref="H17">sinus*p_5_1+cosinus*p_6_1</f>
        <v>0</v>
      </c>
      <c r="I17" s="90" cm="1">
        <f t="array" ref="I17">sinus*(cosinus*p_5_2-sinus*p_5_3)+cosinus*(cosinus*p_6_2-sinus*p_6_3)</f>
        <v>39935.151221821354</v>
      </c>
      <c r="J17" s="90" cm="1">
        <f t="array" ref="J17">sinus*(sinus*p_5_2+cosinus*p_5_3)+cosinus*(sinus*p_6_2+cosinus*p_6_3)</f>
        <v>-39953.772916634749</v>
      </c>
      <c r="K17" s="90" cm="1">
        <f t="array" ref="K17">sinus*p_5_4+cosinus*p_6_4</f>
        <v>186.21074115063323</v>
      </c>
      <c r="L17" s="90" cm="1">
        <f t="array" ref="L17">sinus*(cosinus*p_5_5-sinus*p_5_6)+cosinus*(cosinus*p_6_5-sinus*p_6_6)</f>
        <v>-39935.151221821354</v>
      </c>
      <c r="M17" s="90" cm="1">
        <f t="array" ref="M17">sinus*(sinus*p_5_5+cosinus*p_5_6)+cosinus*(sinus*p_6_5+cosinus*p_6_6)</f>
        <v>39953.772916634749</v>
      </c>
      <c r="N17" s="2"/>
      <c r="O17" s="2"/>
      <c r="P17" s="2"/>
      <c r="Q17" s="2"/>
      <c r="R17" s="2"/>
    </row>
    <row r="18" spans="1:18" x14ac:dyDescent="0.25">
      <c r="B18"/>
      <c r="D18"/>
      <c r="E18"/>
    </row>
    <row r="19" spans="1:18" x14ac:dyDescent="0.25">
      <c r="A19" s="6"/>
    </row>
    <row r="20" spans="1:18" s="14" customFormat="1" x14ac:dyDescent="0.25">
      <c r="A20" s="13"/>
      <c r="B20" s="13"/>
      <c r="C20" s="13"/>
    </row>
    <row r="21" spans="1:18" s="14" customFormat="1" x14ac:dyDescent="0.25">
      <c r="A21" s="13"/>
      <c r="B21" s="13"/>
      <c r="C21" s="13"/>
    </row>
    <row r="22" spans="1:18" s="14" customFormat="1" x14ac:dyDescent="0.25">
      <c r="A22" s="13"/>
      <c r="B22" s="13"/>
      <c r="C22" s="13"/>
    </row>
    <row r="23" spans="1:18" s="14" customFormat="1" x14ac:dyDescent="0.25">
      <c r="A23" s="13"/>
      <c r="B23" s="13"/>
      <c r="C23" s="13"/>
    </row>
    <row r="24" spans="1:18" s="14" customFormat="1" x14ac:dyDescent="0.25">
      <c r="A24" s="13"/>
      <c r="B24" s="13"/>
      <c r="C24" s="13"/>
    </row>
    <row r="25" spans="1:18" s="14" customFormat="1" x14ac:dyDescent="0.25">
      <c r="A25" s="13"/>
      <c r="B25" s="13"/>
      <c r="C25" s="13"/>
    </row>
    <row r="26" spans="1:18" s="14" customFormat="1" x14ac:dyDescent="0.25">
      <c r="A26" s="13"/>
      <c r="B26" s="13"/>
      <c r="C26" s="13"/>
    </row>
    <row r="27" spans="1:18" s="14" customFormat="1" x14ac:dyDescent="0.25">
      <c r="A27" s="13"/>
      <c r="B27" s="13"/>
      <c r="C27" s="13"/>
    </row>
    <row r="28" spans="1:18" s="14" customFormat="1" x14ac:dyDescent="0.25">
      <c r="A28" s="13"/>
      <c r="B28" s="13"/>
      <c r="C28" s="13"/>
    </row>
    <row r="29" spans="1:18" s="14" customFormat="1" x14ac:dyDescent="0.25">
      <c r="A29" s="17"/>
      <c r="B29" s="13"/>
      <c r="C29" s="13"/>
    </row>
    <row r="30" spans="1:18" s="14" customFormat="1" x14ac:dyDescent="0.25">
      <c r="A30" s="13"/>
      <c r="B30" s="13"/>
      <c r="C30" s="13"/>
    </row>
    <row r="31" spans="1:18" s="14" customFormat="1" x14ac:dyDescent="0.25">
      <c r="A31" s="13"/>
      <c r="B31" s="13"/>
      <c r="C31" s="13"/>
    </row>
    <row r="32" spans="1:18" s="14" customFormat="1" x14ac:dyDescent="0.25">
      <c r="A32" s="13"/>
      <c r="B32" s="13"/>
      <c r="C32" s="13"/>
    </row>
    <row r="33" spans="1:5" s="14" customFormat="1" x14ac:dyDescent="0.25">
      <c r="A33" s="13"/>
      <c r="B33" s="13"/>
      <c r="C33" s="13"/>
    </row>
    <row r="34" spans="1:5" s="14" customFormat="1" x14ac:dyDescent="0.25">
      <c r="A34" s="13"/>
      <c r="B34" s="13"/>
      <c r="C34" s="13"/>
    </row>
    <row r="35" spans="1:5" s="14" customFormat="1" x14ac:dyDescent="0.25">
      <c r="A35" s="13"/>
      <c r="B35" s="13"/>
      <c r="C35" s="13"/>
    </row>
    <row r="36" spans="1:5" s="16" customFormat="1" x14ac:dyDescent="0.25">
      <c r="A36" s="12"/>
      <c r="B36" s="13"/>
      <c r="C36" s="12"/>
      <c r="D36" s="14"/>
      <c r="E36" s="15"/>
    </row>
    <row r="40" spans="1:5" s="7" customFormat="1" x14ac:dyDescent="0.25">
      <c r="A40" s="6"/>
    </row>
    <row r="41" spans="1:5" s="19" customFormat="1" x14ac:dyDescent="0.25"/>
    <row r="42" spans="1:5" s="19" customFormat="1" x14ac:dyDescent="0.25"/>
    <row r="43" spans="1:5" s="19" customFormat="1" x14ac:dyDescent="0.25"/>
    <row r="44" spans="1:5" s="19" customFormat="1" x14ac:dyDescent="0.25"/>
    <row r="45" spans="1:5" s="19" customFormat="1" x14ac:dyDescent="0.25"/>
    <row r="46" spans="1:5" s="19" customFormat="1" x14ac:dyDescent="0.25"/>
    <row r="47" spans="1:5" s="7" customFormat="1" x14ac:dyDescent="0.25"/>
    <row r="48" spans="1:5" s="7" customFormat="1" x14ac:dyDescent="0.25"/>
    <row r="51" spans="1:6" s="14" customFormat="1" x14ac:dyDescent="0.25">
      <c r="A51" s="13"/>
      <c r="B51" s="13"/>
      <c r="C51" s="13"/>
      <c r="D51" s="13"/>
      <c r="E51" s="13"/>
      <c r="F51" s="13"/>
    </row>
    <row r="52" spans="1:6" s="14" customFormat="1" x14ac:dyDescent="0.25">
      <c r="A52" s="13"/>
      <c r="B52" s="13"/>
      <c r="C52" s="13"/>
    </row>
    <row r="53" spans="1:6" s="14" customFormat="1" x14ac:dyDescent="0.25">
      <c r="A53" s="13"/>
      <c r="B53" s="13"/>
      <c r="C53" s="13"/>
    </row>
    <row r="54" spans="1:6" s="14" customFormat="1" x14ac:dyDescent="0.25">
      <c r="A54" s="13"/>
      <c r="B54" s="13"/>
      <c r="C54" s="13"/>
      <c r="D54" s="13"/>
      <c r="E54" s="13"/>
      <c r="F54" s="13"/>
    </row>
    <row r="55" spans="1:6" s="14" customFormat="1" x14ac:dyDescent="0.25">
      <c r="A55" s="13"/>
      <c r="B55" s="13"/>
      <c r="C55" s="13"/>
    </row>
    <row r="56" spans="1:6" s="14" customFormat="1" x14ac:dyDescent="0.25">
      <c r="A56" s="13"/>
      <c r="B56" s="13"/>
      <c r="C56" s="13"/>
    </row>
    <row r="57" spans="1:6" s="14" customFormat="1" x14ac:dyDescent="0.25">
      <c r="A57" s="13"/>
      <c r="B57" s="13"/>
      <c r="C57" s="13"/>
    </row>
    <row r="58" spans="1:6" s="14" customFormat="1" x14ac:dyDescent="0.25">
      <c r="A58" s="13"/>
      <c r="B58" s="13"/>
      <c r="C58" s="13"/>
    </row>
    <row r="59" spans="1:6" s="11" customFormat="1" x14ac:dyDescent="0.25">
      <c r="A59" s="8"/>
      <c r="B59" s="8"/>
      <c r="C59" s="8"/>
    </row>
    <row r="60" spans="1:6" s="11" customFormat="1" x14ac:dyDescent="0.25">
      <c r="A60" s="8"/>
      <c r="B60" s="8"/>
      <c r="C60" s="8"/>
    </row>
    <row r="61" spans="1:6" s="11" customFormat="1" x14ac:dyDescent="0.25">
      <c r="A61" s="8"/>
      <c r="B61" s="8"/>
      <c r="C61" s="8"/>
    </row>
    <row r="62" spans="1:6" s="11" customFormat="1" x14ac:dyDescent="0.25">
      <c r="A62" s="8"/>
      <c r="B62" s="8"/>
      <c r="C62" s="8"/>
    </row>
  </sheetData>
  <dataConsolidate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837FE-786F-4268-8B1E-62BC6C289D93}">
  <sheetPr codeName="Arkusz1"/>
  <dimension ref="A1:C3"/>
  <sheetViews>
    <sheetView zoomScaleNormal="100" workbookViewId="0">
      <selection activeCell="F12" sqref="F12"/>
    </sheetView>
  </sheetViews>
  <sheetFormatPr defaultRowHeight="15" x14ac:dyDescent="0.25"/>
  <cols>
    <col min="1" max="16384" width="9.140625" style="20"/>
  </cols>
  <sheetData>
    <row r="1" spans="1:3" x14ac:dyDescent="0.25">
      <c r="A1" s="20">
        <v>8991.049934908091</v>
      </c>
      <c r="B1" s="20">
        <v>526.68351118954263</v>
      </c>
      <c r="C1" s="20">
        <v>0</v>
      </c>
    </row>
    <row r="2" spans="1:3" x14ac:dyDescent="0.25">
      <c r="A2" s="20">
        <v>526.68351118954263</v>
      </c>
      <c r="B2" s="20">
        <v>52.670106718954273</v>
      </c>
      <c r="C2" s="20">
        <v>0</v>
      </c>
    </row>
    <row r="3" spans="1:3" x14ac:dyDescent="0.25">
      <c r="A3" s="20">
        <v>0</v>
      </c>
      <c r="B3" s="20">
        <v>0</v>
      </c>
      <c r="C3" s="20">
        <v>112979.99999999997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00CA0-5337-41E8-8E26-A47E73C53E83}">
  <sheetPr codeName="Arkusz14"/>
  <dimension ref="A1:C3"/>
  <sheetViews>
    <sheetView workbookViewId="0">
      <selection activeCell="D10" sqref="D10"/>
    </sheetView>
  </sheetViews>
  <sheetFormatPr defaultRowHeight="15" x14ac:dyDescent="0.25"/>
  <cols>
    <col min="1" max="6" width="12.85546875" style="27" customWidth="1"/>
    <col min="7" max="16384" width="9.140625" style="27"/>
  </cols>
  <sheetData>
    <row r="1" spans="1:3" x14ac:dyDescent="0.25">
      <c r="A1" s="27">
        <v>2.6850031783249835E-4</v>
      </c>
      <c r="B1" s="27">
        <v>-2.6849136817988983E-3</v>
      </c>
      <c r="C1" s="27">
        <v>0</v>
      </c>
    </row>
    <row r="2" spans="1:3" x14ac:dyDescent="0.25">
      <c r="A2" s="27">
        <v>-2.6849136817988983E-3</v>
      </c>
      <c r="B2" s="27">
        <v>4.5834343530994394E-2</v>
      </c>
      <c r="C2" s="27">
        <v>0</v>
      </c>
    </row>
    <row r="3" spans="1:3" x14ac:dyDescent="0.25">
      <c r="A3" s="27">
        <v>0</v>
      </c>
      <c r="B3" s="27">
        <v>0</v>
      </c>
      <c r="C3" s="27">
        <v>8.8511240927597822E-6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35818-B220-4A9E-92A5-8E715A85CC52}">
  <sheetPr codeName="Arkusz12"/>
  <dimension ref="A1:F33"/>
  <sheetViews>
    <sheetView workbookViewId="0">
      <selection activeCell="L22" sqref="L22"/>
    </sheetView>
  </sheetViews>
  <sheetFormatPr defaultRowHeight="15" x14ac:dyDescent="0.25"/>
  <cols>
    <col min="1" max="6" width="15.7109375" customWidth="1"/>
  </cols>
  <sheetData>
    <row r="1" spans="1:6" x14ac:dyDescent="0.25">
      <c r="A1" s="73" t="s">
        <v>47</v>
      </c>
      <c r="B1" s="56">
        <f>matrix_Ks_elem_glob!B1</f>
        <v>1</v>
      </c>
      <c r="C1" s="36"/>
      <c r="D1" s="36"/>
      <c r="E1" s="36"/>
      <c r="F1" s="36"/>
    </row>
    <row r="2" spans="1:6" x14ac:dyDescent="0.25">
      <c r="A2" s="74"/>
      <c r="B2" s="78"/>
      <c r="C2" s="36"/>
      <c r="D2" s="36"/>
      <c r="E2" s="36"/>
      <c r="F2" s="36"/>
    </row>
    <row r="3" spans="1:6" x14ac:dyDescent="0.25">
      <c r="A3" s="73" t="s">
        <v>17</v>
      </c>
      <c r="B3" s="56">
        <f>si</f>
        <v>0.01</v>
      </c>
      <c r="C3" s="36"/>
      <c r="D3" s="36"/>
      <c r="E3" s="36"/>
      <c r="F3" s="36"/>
    </row>
    <row r="4" spans="1:6" x14ac:dyDescent="0.25">
      <c r="A4" s="73" t="s">
        <v>137</v>
      </c>
      <c r="B4" s="78">
        <f>L</f>
        <v>14.142135623730951</v>
      </c>
      <c r="C4" s="36"/>
      <c r="D4" s="36"/>
      <c r="E4" s="36"/>
      <c r="F4" s="36"/>
    </row>
    <row r="5" spans="1:6" x14ac:dyDescent="0.25">
      <c r="A5" s="74" t="s">
        <v>40</v>
      </c>
      <c r="B5" s="78">
        <f>sinush</f>
        <v>1.0000166667500001E-2</v>
      </c>
      <c r="C5" s="36"/>
      <c r="D5" s="36"/>
      <c r="E5" s="36"/>
      <c r="F5" s="36"/>
    </row>
    <row r="6" spans="1:6" x14ac:dyDescent="0.25">
      <c r="A6" s="74" t="s">
        <v>41</v>
      </c>
      <c r="B6" s="78">
        <f>cosinush</f>
        <v>1.0000500004166679</v>
      </c>
      <c r="C6" s="36"/>
      <c r="D6" s="36"/>
      <c r="E6" s="36"/>
      <c r="F6" s="36"/>
    </row>
    <row r="7" spans="1:6" x14ac:dyDescent="0.25">
      <c r="A7" s="74" t="s">
        <v>11</v>
      </c>
      <c r="B7" s="78">
        <f>sinus</f>
        <v>0.70710678118654746</v>
      </c>
      <c r="C7" s="36"/>
      <c r="D7" s="36"/>
      <c r="E7" s="36"/>
      <c r="F7" s="36"/>
    </row>
    <row r="8" spans="1:6" x14ac:dyDescent="0.25">
      <c r="A8" s="74" t="s">
        <v>12</v>
      </c>
      <c r="B8" s="78">
        <f>cosinus</f>
        <v>0.70710678118654746</v>
      </c>
      <c r="C8" s="36"/>
      <c r="D8" s="36"/>
      <c r="E8" s="36"/>
      <c r="F8" s="36"/>
    </row>
    <row r="9" spans="1:6" x14ac:dyDescent="0.25">
      <c r="A9" s="74" t="s">
        <v>61</v>
      </c>
      <c r="B9" s="92" cm="1">
        <f t="array" ref="B9">INDEX(Members!B5:O5,1,$B$1)</f>
        <v>1</v>
      </c>
      <c r="C9" s="36"/>
      <c r="D9" s="36"/>
      <c r="E9" s="36"/>
      <c r="F9" s="36"/>
    </row>
    <row r="10" spans="1:6" x14ac:dyDescent="0.25">
      <c r="A10" s="74" t="s">
        <v>62</v>
      </c>
      <c r="B10" s="92" cm="1">
        <f t="array" ref="B10">INDEX(Members!B6:O6,1,$B$1)</f>
        <v>2</v>
      </c>
      <c r="C10" s="36"/>
      <c r="D10" s="36"/>
      <c r="E10" s="36"/>
      <c r="F10" s="36"/>
    </row>
    <row r="11" spans="1:6" x14ac:dyDescent="0.25">
      <c r="A11" s="73" t="s">
        <v>16</v>
      </c>
      <c r="B11" s="56" t="str" cm="1">
        <f t="array" ref="B11">INDEX('Members geometry'!$B$22:$O$22,1,$B$1)</f>
        <v>PS</v>
      </c>
      <c r="C11" s="36"/>
      <c r="D11" s="36"/>
      <c r="E11" s="36"/>
      <c r="F11" s="36"/>
    </row>
    <row r="12" spans="1:6" x14ac:dyDescent="0.25">
      <c r="A12" s="73" t="s">
        <v>108</v>
      </c>
      <c r="B12" s="36" t="b" cm="1">
        <f t="array" ref="B12">INDEX('normal force'!$B$2:$O$6,3,$B$1)</f>
        <v>0</v>
      </c>
      <c r="C12" s="36"/>
      <c r="D12" s="36"/>
      <c r="E12" s="36"/>
      <c r="F12" s="36"/>
    </row>
    <row r="13" spans="1:6" x14ac:dyDescent="0.25">
      <c r="A13" s="73" t="s">
        <v>66</v>
      </c>
      <c r="B13" s="78" cm="1">
        <f t="array" ref="B13">INDEX('Load  members'!B2:O2,1,$B$1)</f>
        <v>-10</v>
      </c>
      <c r="C13" s="78"/>
      <c r="D13" s="78"/>
      <c r="E13" s="36"/>
      <c r="F13" s="36"/>
    </row>
    <row r="14" spans="1:6" x14ac:dyDescent="0.25">
      <c r="A14" s="95" t="s">
        <v>67</v>
      </c>
      <c r="B14" s="96"/>
      <c r="C14" s="96"/>
      <c r="D14" s="96"/>
      <c r="E14" s="96"/>
      <c r="F14" s="97"/>
    </row>
    <row r="15" spans="1:6" s="7" customFormat="1" x14ac:dyDescent="0.25">
      <c r="A15" s="57"/>
      <c r="B15" s="57"/>
      <c r="C15" s="57" t="s">
        <v>29</v>
      </c>
      <c r="D15" s="57" t="s">
        <v>32</v>
      </c>
      <c r="E15" s="57" t="s">
        <v>37</v>
      </c>
      <c r="F15" s="57" t="s">
        <v>38</v>
      </c>
    </row>
    <row r="16" spans="1:6" s="7" customFormat="1" x14ac:dyDescent="0.25">
      <c r="A16" s="57"/>
      <c r="B16" s="57"/>
      <c r="C16" s="67">
        <f>ABS((2*(1-cosinush)+si*sinush)/(2*si*si*(1-cosinush)))</f>
        <v>8.3333222179873864E-2</v>
      </c>
      <c r="D16" s="67">
        <f>ABS((2*(1-cosinush)+si*sinush)/(2*si*(sinush-si*cosinush)))</f>
        <v>0.12499962493739897</v>
      </c>
      <c r="E16" s="67">
        <f>ABS((2*(1-cosinush)+si*sinush)/(2*si*(sinush-si*cosinush)))</f>
        <v>0.12499962493739897</v>
      </c>
      <c r="F16" s="67"/>
    </row>
    <row r="17" spans="1:6" s="7" customFormat="1" x14ac:dyDescent="0.25">
      <c r="A17" s="57"/>
      <c r="B17" s="57"/>
      <c r="C17" s="67">
        <f>ABS((2*(1-cosinush)-si*sinush)/(2*si*si*(1-cosinush)))</f>
        <v>20000.083333222181</v>
      </c>
      <c r="D17" s="67">
        <f>(2*(1-cosinush)-si*sinush)/(2*si*(sinush-si*cosinush))</f>
        <v>30000.074999779405</v>
      </c>
      <c r="E17" s="67">
        <f>(2*(1-cosinush)-si*sinush)/(2*si*(sinush-si*cosinush))</f>
        <v>30000.074999779405</v>
      </c>
      <c r="F17" s="67"/>
    </row>
    <row r="18" spans="1:6" s="7" customFormat="1" x14ac:dyDescent="0.25">
      <c r="A18" s="57" t="s">
        <v>65</v>
      </c>
      <c r="B18" s="57"/>
      <c r="C18" s="67">
        <f>IF($B$12=FALSE,C16,C17)</f>
        <v>8.3333222179873864E-2</v>
      </c>
      <c r="D18" s="67">
        <f>IF($B$12=FALSE,D16,D17)</f>
        <v>0.12499962493739897</v>
      </c>
      <c r="E18" s="67">
        <f>IF($B$12=FALSE,E16,E17)</f>
        <v>0.12499962493739897</v>
      </c>
      <c r="F18" s="57"/>
    </row>
    <row r="19" spans="1:6" s="19" customFormat="1" x14ac:dyDescent="0.25">
      <c r="A19" s="72" t="s">
        <v>68</v>
      </c>
      <c r="B19" s="72">
        <f>IF($B$11="SS",C19,IF($B$11="SP",D19,IF($B$11="PS",E19,F19)))</f>
        <v>0</v>
      </c>
      <c r="C19" s="72">
        <f>qy*L*L*gamma_SS</f>
        <v>-166.66644435974774</v>
      </c>
      <c r="D19" s="72">
        <f>qy*L*L*gamma_SP</f>
        <v>-249.99924987479795</v>
      </c>
      <c r="E19" s="72">
        <v>0</v>
      </c>
      <c r="F19" s="72">
        <v>0</v>
      </c>
    </row>
    <row r="20" spans="1:6" s="19" customFormat="1" x14ac:dyDescent="0.25">
      <c r="A20" s="72" t="s">
        <v>69</v>
      </c>
      <c r="B20" s="72">
        <f t="shared" ref="B20:B24" si="0">IF($B$11="SS",C20,IF($B$11="SP",D20,IF($B$11="PS",E20,F20)))</f>
        <v>53.033061630852778</v>
      </c>
      <c r="C20" s="72">
        <f>-qy*L/2</f>
        <v>70.710678118654755</v>
      </c>
      <c r="D20" s="72">
        <f>-qy*L*(0.5+gamma_SP)</f>
        <v>88.388294606456739</v>
      </c>
      <c r="E20" s="72">
        <f>-qy*L*(0.5-gamma_PS)</f>
        <v>53.033061630852778</v>
      </c>
      <c r="F20" s="72">
        <f>-qy*L/2</f>
        <v>70.710678118654755</v>
      </c>
    </row>
    <row r="21" spans="1:6" s="19" customFormat="1" x14ac:dyDescent="0.25">
      <c r="A21" s="72" t="s">
        <v>70</v>
      </c>
      <c r="B21" s="72">
        <f t="shared" si="0"/>
        <v>0</v>
      </c>
      <c r="C21" s="72">
        <v>0</v>
      </c>
      <c r="D21" s="72">
        <v>0</v>
      </c>
      <c r="E21" s="72">
        <v>0</v>
      </c>
      <c r="F21" s="72">
        <v>0</v>
      </c>
    </row>
    <row r="22" spans="1:6" s="19" customFormat="1" x14ac:dyDescent="0.25">
      <c r="A22" s="72" t="s">
        <v>71</v>
      </c>
      <c r="B22" s="72">
        <f t="shared" si="0"/>
        <v>249.99924987479795</v>
      </c>
      <c r="C22" s="72">
        <f>-qy*L*L*gamma_SS</f>
        <v>166.66644435974774</v>
      </c>
      <c r="D22" s="72">
        <v>0</v>
      </c>
      <c r="E22" s="72">
        <f>-qy*L*L*gamma_PS</f>
        <v>249.99924987479795</v>
      </c>
      <c r="F22" s="72">
        <v>0</v>
      </c>
    </row>
    <row r="23" spans="1:6" s="19" customFormat="1" x14ac:dyDescent="0.25">
      <c r="A23" s="72" t="s">
        <v>72</v>
      </c>
      <c r="B23" s="72">
        <f t="shared" si="0"/>
        <v>88.388294606456739</v>
      </c>
      <c r="C23" s="72">
        <f>-qy*L/2</f>
        <v>70.710678118654755</v>
      </c>
      <c r="D23" s="72">
        <f>-qy*L*(0.5-gamma_SP)</f>
        <v>53.033061630852778</v>
      </c>
      <c r="E23" s="72">
        <f>-qy*L*(0.5+gamma_PS)</f>
        <v>88.388294606456739</v>
      </c>
      <c r="F23" s="72">
        <f>-qy*L/2</f>
        <v>70.710678118654755</v>
      </c>
    </row>
    <row r="24" spans="1:6" s="19" customFormat="1" x14ac:dyDescent="0.25">
      <c r="A24" s="72" t="s">
        <v>73</v>
      </c>
      <c r="B24" s="72">
        <f t="shared" si="0"/>
        <v>0</v>
      </c>
      <c r="C24" s="72">
        <v>0</v>
      </c>
      <c r="D24" s="72">
        <v>0</v>
      </c>
      <c r="E24" s="72">
        <v>0</v>
      </c>
      <c r="F24" s="72">
        <v>0</v>
      </c>
    </row>
    <row r="25" spans="1:6" s="2" customFormat="1" x14ac:dyDescent="0.25">
      <c r="A25" s="94"/>
      <c r="B25" s="94"/>
      <c r="C25" s="94"/>
      <c r="D25" s="94"/>
      <c r="E25" s="94"/>
      <c r="F25" s="94"/>
    </row>
    <row r="26" spans="1:6" s="2" customFormat="1" x14ac:dyDescent="0.25">
      <c r="A26" s="95" t="s">
        <v>74</v>
      </c>
      <c r="B26" s="94"/>
      <c r="C26" s="94"/>
      <c r="D26" s="94"/>
      <c r="E26" s="94"/>
      <c r="F26" s="98"/>
    </row>
    <row r="27" spans="1:6" s="2" customFormat="1" x14ac:dyDescent="0.25">
      <c r="A27" s="72" t="s">
        <v>75</v>
      </c>
      <c r="B27" s="60">
        <f>f_e_1</f>
        <v>0</v>
      </c>
      <c r="C27" s="60"/>
      <c r="D27" s="60"/>
      <c r="E27" s="60"/>
      <c r="F27" s="60"/>
    </row>
    <row r="28" spans="1:6" s="2" customFormat="1" x14ac:dyDescent="0.25">
      <c r="A28" s="72" t="s">
        <v>76</v>
      </c>
      <c r="B28" s="60">
        <f>cosinus*f_e_2-sinus*f_e_3</f>
        <v>37.500037506260099</v>
      </c>
      <c r="C28" s="60"/>
      <c r="D28" s="60"/>
      <c r="E28" s="60"/>
      <c r="F28" s="60"/>
    </row>
    <row r="29" spans="1:6" s="2" customFormat="1" x14ac:dyDescent="0.25">
      <c r="A29" s="72" t="s">
        <v>77</v>
      </c>
      <c r="B29" s="60">
        <f>sinus*f_e_2+cosinus*f_e_3</f>
        <v>37.500037506260099</v>
      </c>
      <c r="C29" s="60"/>
      <c r="D29" s="60"/>
      <c r="E29" s="60"/>
      <c r="F29" s="60"/>
    </row>
    <row r="30" spans="1:6" s="2" customFormat="1" x14ac:dyDescent="0.25">
      <c r="A30" s="72" t="s">
        <v>78</v>
      </c>
      <c r="B30" s="60">
        <f>f_e_4</f>
        <v>249.99924987479795</v>
      </c>
      <c r="C30" s="60"/>
      <c r="D30" s="60"/>
      <c r="E30" s="60"/>
      <c r="F30" s="60"/>
    </row>
    <row r="31" spans="1:6" s="2" customFormat="1" x14ac:dyDescent="0.25">
      <c r="A31" s="72" t="s">
        <v>79</v>
      </c>
      <c r="B31" s="60">
        <f>cosinus*f_e_5-sinus*f_e_6</f>
        <v>62.499962493739901</v>
      </c>
      <c r="C31" s="60"/>
      <c r="D31" s="60"/>
      <c r="E31" s="60"/>
      <c r="F31" s="60"/>
    </row>
    <row r="32" spans="1:6" s="2" customFormat="1" x14ac:dyDescent="0.25">
      <c r="A32" s="72" t="s">
        <v>80</v>
      </c>
      <c r="B32" s="60">
        <f>sinus*f_e_5+cosinus*f_e_6</f>
        <v>62.499962493739901</v>
      </c>
      <c r="C32" s="60"/>
      <c r="D32" s="60"/>
      <c r="E32" s="60"/>
      <c r="F32" s="60"/>
    </row>
    <row r="33" s="2" customFormat="1" x14ac:dyDescent="0.25"/>
  </sheetData>
  <phoneticPr fontId="6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2EBDE-7FFA-4430-88CB-C94BCA93D2C6}">
  <sheetPr codeName="Arkusz13"/>
  <dimension ref="A1:A3"/>
  <sheetViews>
    <sheetView workbookViewId="0">
      <selection activeCell="C4" sqref="C4"/>
    </sheetView>
  </sheetViews>
  <sheetFormatPr defaultRowHeight="15" x14ac:dyDescent="0.25"/>
  <cols>
    <col min="1" max="1" width="9.42578125" style="2" bestFit="1" customWidth="1"/>
    <col min="2" max="16384" width="9.140625" style="2"/>
  </cols>
  <sheetData>
    <row r="1" spans="1:1" x14ac:dyDescent="0.25">
      <c r="A1" s="2">
        <v>124.99962493739899</v>
      </c>
    </row>
    <row r="2" spans="1:1" x14ac:dyDescent="0.25">
      <c r="A2" s="2">
        <v>37.500037506260107</v>
      </c>
    </row>
    <row r="3" spans="1:1" x14ac:dyDescent="0.25">
      <c r="A3" s="2">
        <v>0</v>
      </c>
    </row>
  </sheetData>
  <dataConsolidate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BBE8C-46E2-4B75-B82D-5261725D5311}">
  <sheetPr codeName="Arkusz9"/>
  <dimension ref="A1:A9"/>
  <sheetViews>
    <sheetView workbookViewId="0">
      <selection activeCell="C6" sqref="C6"/>
    </sheetView>
  </sheetViews>
  <sheetFormatPr defaultRowHeight="15" x14ac:dyDescent="0.25"/>
  <cols>
    <col min="1" max="1" width="8.85546875" customWidth="1"/>
  </cols>
  <sheetData>
    <row r="1" spans="1:1" x14ac:dyDescent="0.25">
      <c r="A1">
        <v>1</v>
      </c>
    </row>
    <row r="2" spans="1:1" x14ac:dyDescent="0.25">
      <c r="A2">
        <v>1</v>
      </c>
    </row>
    <row r="3" spans="1:1" x14ac:dyDescent="0.25">
      <c r="A3">
        <v>1</v>
      </c>
    </row>
    <row r="4" spans="1:1" x14ac:dyDescent="0.25">
      <c r="A4">
        <v>0</v>
      </c>
    </row>
    <row r="5" spans="1:1" x14ac:dyDescent="0.25">
      <c r="A5">
        <v>1</v>
      </c>
    </row>
    <row r="6" spans="1:1" x14ac:dyDescent="0.25">
      <c r="A6">
        <v>1</v>
      </c>
    </row>
    <row r="7" spans="1:1" x14ac:dyDescent="0.25">
      <c r="A7">
        <v>1</v>
      </c>
    </row>
    <row r="8" spans="1:1" x14ac:dyDescent="0.25">
      <c r="A8">
        <v>0</v>
      </c>
    </row>
    <row r="9" spans="1:1" x14ac:dyDescent="0.25">
      <c r="A9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10903-A3BB-4C8E-B625-6E125936D67C}">
  <sheetPr codeName="Arkusz15"/>
  <dimension ref="A1:A9"/>
  <sheetViews>
    <sheetView workbookViewId="0">
      <selection activeCell="D12" sqref="D12"/>
    </sheetView>
  </sheetViews>
  <sheetFormatPr defaultRowHeight="15" x14ac:dyDescent="0.25"/>
  <sheetData>
    <row r="1" spans="1:1" x14ac:dyDescent="0.25">
      <c r="A1">
        <v>0</v>
      </c>
    </row>
    <row r="2" spans="1:1" x14ac:dyDescent="0.25">
      <c r="A2">
        <v>0</v>
      </c>
    </row>
    <row r="3" spans="1:1" x14ac:dyDescent="0.25">
      <c r="A3">
        <v>0</v>
      </c>
    </row>
    <row r="4" spans="1:1" x14ac:dyDescent="0.25">
      <c r="A4">
        <v>-6.712192474389489E-2</v>
      </c>
    </row>
    <row r="5" spans="1:1" x14ac:dyDescent="0.25">
      <c r="A5">
        <v>0</v>
      </c>
    </row>
    <row r="6" spans="1:1" x14ac:dyDescent="0.25">
      <c r="A6">
        <v>0</v>
      </c>
    </row>
    <row r="7" spans="1:1" x14ac:dyDescent="0.25">
      <c r="A7">
        <v>0</v>
      </c>
    </row>
    <row r="8" spans="1:1" x14ac:dyDescent="0.25">
      <c r="A8">
        <v>1.3831763982729468</v>
      </c>
    </row>
    <row r="9" spans="1:1" x14ac:dyDescent="0.25">
      <c r="A9">
        <v>0</v>
      </c>
    </row>
  </sheetData>
  <dataConsolidate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25D87-5CA4-4682-8CCF-20C146928AB9}">
  <sheetPr codeName="Arkusz16"/>
  <dimension ref="A1:F2"/>
  <sheetViews>
    <sheetView workbookViewId="0">
      <selection activeCell="E17" sqref="E17"/>
    </sheetView>
  </sheetViews>
  <sheetFormatPr defaultRowHeight="15" x14ac:dyDescent="0.25"/>
  <cols>
    <col min="1" max="6" width="10.5703125" bestFit="1" customWidth="1"/>
  </cols>
  <sheetData>
    <row r="1" spans="1:6" x14ac:dyDescent="0.25">
      <c r="A1">
        <v>0</v>
      </c>
      <c r="B1">
        <v>0</v>
      </c>
      <c r="C1">
        <v>0</v>
      </c>
      <c r="D1">
        <v>-6.712192474389489E-2</v>
      </c>
      <c r="E1">
        <v>0</v>
      </c>
      <c r="F1">
        <v>0</v>
      </c>
    </row>
    <row r="2" spans="1:6" x14ac:dyDescent="0.25">
      <c r="A2">
        <v>-6.712192474389489E-2</v>
      </c>
      <c r="B2">
        <v>0</v>
      </c>
      <c r="C2">
        <v>0</v>
      </c>
      <c r="D2">
        <v>0</v>
      </c>
      <c r="E2">
        <v>1.3831763982729468</v>
      </c>
      <c r="F2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BC5AD-8506-4E31-85B5-E83BB63C866A}">
  <sheetPr codeName="Arkusz20"/>
  <dimension ref="A1:F2"/>
  <sheetViews>
    <sheetView workbookViewId="0">
      <selection activeCell="F18" sqref="F18"/>
    </sheetView>
  </sheetViews>
  <sheetFormatPr defaultRowHeight="15" x14ac:dyDescent="0.25"/>
  <cols>
    <col min="1" max="6" width="13" style="28" customWidth="1"/>
    <col min="7" max="16384" width="9.140625" style="27"/>
  </cols>
  <sheetData>
    <row r="1" spans="1:6" x14ac:dyDescent="0.25">
      <c r="A1" s="28">
        <v>0</v>
      </c>
      <c r="B1" s="28">
        <v>0</v>
      </c>
      <c r="C1" s="28">
        <v>0</v>
      </c>
      <c r="D1" s="28">
        <v>-6.712192474389489E-2</v>
      </c>
      <c r="E1" s="28">
        <v>0</v>
      </c>
      <c r="F1" s="28">
        <v>0</v>
      </c>
    </row>
    <row r="2" spans="1:6" x14ac:dyDescent="0.25">
      <c r="A2" s="28">
        <v>-6.712192474389489E-2</v>
      </c>
      <c r="B2" s="28">
        <v>0</v>
      </c>
      <c r="C2" s="28">
        <v>0</v>
      </c>
      <c r="D2" s="28">
        <v>0</v>
      </c>
      <c r="E2" s="28">
        <v>1.3831763982729468</v>
      </c>
      <c r="F2" s="28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B5BEC-8D0D-4D49-B9BD-F6B032846A63}">
  <sheetPr codeName="Arkusz17"/>
  <dimension ref="A1:F2"/>
  <sheetViews>
    <sheetView workbookViewId="0">
      <selection activeCell="G14" sqref="G14"/>
    </sheetView>
  </sheetViews>
  <sheetFormatPr defaultColWidth="11.5703125" defaultRowHeight="15" x14ac:dyDescent="0.25"/>
  <cols>
    <col min="1" max="6" width="12.7109375" style="28" customWidth="1"/>
    <col min="7" max="16384" width="11.5703125" style="28"/>
  </cols>
  <sheetData>
    <row r="1" spans="1:6" x14ac:dyDescent="0.25">
      <c r="A1" s="28">
        <v>0</v>
      </c>
      <c r="B1" s="28">
        <v>17.676005500957402</v>
      </c>
      <c r="C1" s="28">
        <v>0</v>
      </c>
      <c r="D1" s="28">
        <v>-249.97646708035396</v>
      </c>
      <c r="E1" s="28">
        <v>-17.676005500957402</v>
      </c>
      <c r="F1" s="28">
        <v>0</v>
      </c>
    </row>
    <row r="2" spans="1:6" x14ac:dyDescent="0.25">
      <c r="A2" s="28">
        <v>374.97609201775282</v>
      </c>
      <c r="B2" s="28">
        <v>-37.500037506260099</v>
      </c>
      <c r="C2" s="28">
        <v>0</v>
      </c>
      <c r="D2" s="28">
        <v>0</v>
      </c>
      <c r="E2" s="28">
        <v>37.500037506260099</v>
      </c>
      <c r="F2" s="28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EBD7A-11D0-4520-B184-637056778A8E}">
  <sheetPr codeName="Arkusz21"/>
  <dimension ref="A1:F2"/>
  <sheetViews>
    <sheetView workbookViewId="0">
      <selection activeCell="F20" sqref="F20"/>
    </sheetView>
  </sheetViews>
  <sheetFormatPr defaultRowHeight="15" x14ac:dyDescent="0.25"/>
  <cols>
    <col min="1" max="6" width="14.140625" style="2" customWidth="1"/>
    <col min="7" max="16384" width="9.140625" style="2"/>
  </cols>
  <sheetData>
    <row r="1" spans="1:6" x14ac:dyDescent="0.25">
      <c r="A1" s="2">
        <v>0</v>
      </c>
      <c r="B1" s="2">
        <v>-35.357056129895376</v>
      </c>
      <c r="C1" s="2">
        <v>0</v>
      </c>
      <c r="D1" s="2">
        <v>-499.97571695515194</v>
      </c>
      <c r="E1" s="2">
        <v>-106.06430010741414</v>
      </c>
      <c r="F1" s="2">
        <v>0</v>
      </c>
    </row>
    <row r="2" spans="1:6" x14ac:dyDescent="0.25">
      <c r="A2" s="2">
        <v>499.97571695515177</v>
      </c>
      <c r="B2" s="2">
        <v>-100</v>
      </c>
      <c r="C2" s="2">
        <v>0</v>
      </c>
      <c r="D2" s="2">
        <v>0</v>
      </c>
      <c r="E2" s="2">
        <v>-7.1054273576010019E-15</v>
      </c>
      <c r="F2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22</vt:i4>
      </vt:variant>
      <vt:variant>
        <vt:lpstr>Nazwane zakresy</vt:lpstr>
      </vt:variant>
      <vt:variant>
        <vt:i4>128</vt:i4>
      </vt:variant>
    </vt:vector>
  </HeadingPairs>
  <TitlesOfParts>
    <vt:vector size="150" baseType="lpstr">
      <vt:lpstr>Nodes</vt:lpstr>
      <vt:lpstr>Members</vt:lpstr>
      <vt:lpstr>Sections</vt:lpstr>
      <vt:lpstr>Supports</vt:lpstr>
      <vt:lpstr>Load  members</vt:lpstr>
      <vt:lpstr>Load nodes</vt:lpstr>
      <vt:lpstr>Internal forces</vt:lpstr>
      <vt:lpstr>element_integration_constants</vt:lpstr>
      <vt:lpstr>Members geometry</vt:lpstr>
      <vt:lpstr>normal force</vt:lpstr>
      <vt:lpstr>matrix_Ks_elem_loc</vt:lpstr>
      <vt:lpstr>matrix_Ks_elem_glob</vt:lpstr>
      <vt:lpstr>matrix_Ks</vt:lpstr>
      <vt:lpstr>matrix_Ks_inv</vt:lpstr>
      <vt:lpstr>vector_f_elem</vt:lpstr>
      <vt:lpstr>vector_f</vt:lpstr>
      <vt:lpstr>vector_boundary_cond</vt:lpstr>
      <vt:lpstr>vector_q</vt:lpstr>
      <vt:lpstr>vector_q_elem</vt:lpstr>
      <vt:lpstr>vector_q_loc</vt:lpstr>
      <vt:lpstr>Ks_elem x q_elem</vt:lpstr>
      <vt:lpstr>Ks_elem x q_elem - f_elem</vt:lpstr>
      <vt:lpstr>A</vt:lpstr>
      <vt:lpstr>alpha</vt:lpstr>
      <vt:lpstr>beta</vt:lpstr>
      <vt:lpstr>c_a</vt:lpstr>
      <vt:lpstr>c_b</vt:lpstr>
      <vt:lpstr>c_c</vt:lpstr>
      <vt:lpstr>c_d</vt:lpstr>
      <vt:lpstr>cdelta</vt:lpstr>
      <vt:lpstr>cdelta_SSminus</vt:lpstr>
      <vt:lpstr>cdelta_SSplus</vt:lpstr>
      <vt:lpstr>cosinus</vt:lpstr>
      <vt:lpstr>cosinush</vt:lpstr>
      <vt:lpstr>delta</vt:lpstr>
      <vt:lpstr>E</vt:lpstr>
      <vt:lpstr>f_e_1</vt:lpstr>
      <vt:lpstr>f_e_2</vt:lpstr>
      <vt:lpstr>f_e_3</vt:lpstr>
      <vt:lpstr>f_e_4</vt:lpstr>
      <vt:lpstr>f_e_5</vt:lpstr>
      <vt:lpstr>f_e_6</vt:lpstr>
      <vt:lpstr>f_l_1</vt:lpstr>
      <vt:lpstr>f_l_2</vt:lpstr>
      <vt:lpstr>f_l_3</vt:lpstr>
      <vt:lpstr>f_l_4</vt:lpstr>
      <vt:lpstr>f_l_5</vt:lpstr>
      <vt:lpstr>f_l_6</vt:lpstr>
      <vt:lpstr>fi</vt:lpstr>
      <vt:lpstr>fj</vt:lpstr>
      <vt:lpstr>'Internal forces'!fres_1</vt:lpstr>
      <vt:lpstr>fres_1</vt:lpstr>
      <vt:lpstr>'Internal forces'!fres_2</vt:lpstr>
      <vt:lpstr>fres_2</vt:lpstr>
      <vt:lpstr>'Internal forces'!fres_3</vt:lpstr>
      <vt:lpstr>fres_3</vt:lpstr>
      <vt:lpstr>'Internal forces'!fres_4</vt:lpstr>
      <vt:lpstr>fres_4</vt:lpstr>
      <vt:lpstr>'Internal forces'!fres_5</vt:lpstr>
      <vt:lpstr>fres_5</vt:lpstr>
      <vt:lpstr>'Internal forces'!fres_6</vt:lpstr>
      <vt:lpstr>fres_6</vt:lpstr>
      <vt:lpstr>gamma_PS</vt:lpstr>
      <vt:lpstr>gamma_SP</vt:lpstr>
      <vt:lpstr>gamma_SS</vt:lpstr>
      <vt:lpstr>Jz</vt:lpstr>
      <vt:lpstr>matrix_Ks_elem_glob!kp_1_1</vt:lpstr>
      <vt:lpstr>matrix_Ks_elem_glob!kp_1_2</vt:lpstr>
      <vt:lpstr>matrix_Ks_elem_glob!kp_1_3</vt:lpstr>
      <vt:lpstr>matrix_Ks_elem_glob!kp_1_4</vt:lpstr>
      <vt:lpstr>matrix_Ks_elem_glob!kp_1_5</vt:lpstr>
      <vt:lpstr>matrix_Ks_elem_glob!kp_1_6</vt:lpstr>
      <vt:lpstr>matrix_Ks_elem_glob!kp_2_1</vt:lpstr>
      <vt:lpstr>matrix_Ks_elem_glob!kp_2_2</vt:lpstr>
      <vt:lpstr>matrix_Ks_elem_glob!kp_2_3</vt:lpstr>
      <vt:lpstr>matrix_Ks_elem_glob!kp_2_4</vt:lpstr>
      <vt:lpstr>matrix_Ks_elem_glob!kp_2_5</vt:lpstr>
      <vt:lpstr>matrix_Ks_elem_glob!kp_2_6</vt:lpstr>
      <vt:lpstr>matrix_Ks_elem_glob!kp_3_1</vt:lpstr>
      <vt:lpstr>matrix_Ks_elem_glob!kp_3_2</vt:lpstr>
      <vt:lpstr>matrix_Ks_elem_glob!kp_3_3</vt:lpstr>
      <vt:lpstr>matrix_Ks_elem_glob!kp_3_4</vt:lpstr>
      <vt:lpstr>matrix_Ks_elem_glob!kp_3_5</vt:lpstr>
      <vt:lpstr>matrix_Ks_elem_glob!kp_3_6</vt:lpstr>
      <vt:lpstr>matrix_Ks_elem_glob!kp_4_1</vt:lpstr>
      <vt:lpstr>matrix_Ks_elem_glob!kp_4_2</vt:lpstr>
      <vt:lpstr>matrix_Ks_elem_glob!kp_4_3</vt:lpstr>
      <vt:lpstr>matrix_Ks_elem_glob!kp_4_4</vt:lpstr>
      <vt:lpstr>matrix_Ks_elem_glob!kp_4_5</vt:lpstr>
      <vt:lpstr>matrix_Ks_elem_glob!kp_4_6</vt:lpstr>
      <vt:lpstr>matrix_Ks_elem_glob!kp_5_1</vt:lpstr>
      <vt:lpstr>matrix_Ks_elem_glob!kp_5_2</vt:lpstr>
      <vt:lpstr>matrix_Ks_elem_glob!kp_5_3</vt:lpstr>
      <vt:lpstr>matrix_Ks_elem_glob!kp_5_4</vt:lpstr>
      <vt:lpstr>matrix_Ks_elem_glob!kp_5_5</vt:lpstr>
      <vt:lpstr>matrix_Ks_elem_glob!kp_5_6</vt:lpstr>
      <vt:lpstr>matrix_Ks_elem_glob!kp_6_1</vt:lpstr>
      <vt:lpstr>matrix_Ks_elem_glob!kp_6_2</vt:lpstr>
      <vt:lpstr>matrix_Ks_elem_glob!kp_6_3</vt:lpstr>
      <vt:lpstr>matrix_Ks_elem_glob!kp_6_4</vt:lpstr>
      <vt:lpstr>matrix_Ks_elem_glob!kp_6_5</vt:lpstr>
      <vt:lpstr>matrix_Ks_elem_glob!kp_6_6</vt:lpstr>
      <vt:lpstr>L</vt:lpstr>
      <vt:lpstr>matrix_Ks_elem_glob!p_1_1</vt:lpstr>
      <vt:lpstr>matrix_Ks_elem_glob!p_1_2</vt:lpstr>
      <vt:lpstr>matrix_Ks_elem_glob!p_1_3</vt:lpstr>
      <vt:lpstr>matrix_Ks_elem_glob!p_1_4</vt:lpstr>
      <vt:lpstr>matrix_Ks_elem_glob!p_1_5</vt:lpstr>
      <vt:lpstr>matrix_Ks_elem_glob!p_1_6</vt:lpstr>
      <vt:lpstr>matrix_Ks_elem_glob!p_2_1</vt:lpstr>
      <vt:lpstr>matrix_Ks_elem_glob!p_2_2</vt:lpstr>
      <vt:lpstr>matrix_Ks_elem_glob!p_2_3</vt:lpstr>
      <vt:lpstr>matrix_Ks_elem_glob!p_2_4</vt:lpstr>
      <vt:lpstr>matrix_Ks_elem_glob!p_2_5</vt:lpstr>
      <vt:lpstr>matrix_Ks_elem_glob!p_2_6</vt:lpstr>
      <vt:lpstr>matrix_Ks_elem_glob!p_3_1</vt:lpstr>
      <vt:lpstr>matrix_Ks_elem_glob!p_3_2</vt:lpstr>
      <vt:lpstr>matrix_Ks_elem_glob!p_3_3</vt:lpstr>
      <vt:lpstr>matrix_Ks_elem_glob!p_3_4</vt:lpstr>
      <vt:lpstr>matrix_Ks_elem_glob!p_3_5</vt:lpstr>
      <vt:lpstr>matrix_Ks_elem_glob!p_3_6</vt:lpstr>
      <vt:lpstr>matrix_Ks_elem_glob!p_4_1</vt:lpstr>
      <vt:lpstr>matrix_Ks_elem_glob!p_4_2</vt:lpstr>
      <vt:lpstr>matrix_Ks_elem_glob!p_4_3</vt:lpstr>
      <vt:lpstr>matrix_Ks_elem_glob!p_4_4</vt:lpstr>
      <vt:lpstr>matrix_Ks_elem_glob!p_4_5</vt:lpstr>
      <vt:lpstr>matrix_Ks_elem_glob!p_4_6</vt:lpstr>
      <vt:lpstr>matrix_Ks_elem_glob!p_5_1</vt:lpstr>
      <vt:lpstr>matrix_Ks_elem_glob!p_5_2</vt:lpstr>
      <vt:lpstr>matrix_Ks_elem_glob!p_5_3</vt:lpstr>
      <vt:lpstr>matrix_Ks_elem_glob!p_5_4</vt:lpstr>
      <vt:lpstr>matrix_Ks_elem_glob!p_5_5</vt:lpstr>
      <vt:lpstr>matrix_Ks_elem_glob!p_5_6</vt:lpstr>
      <vt:lpstr>matrix_Ks_elem_glob!p_6_1</vt:lpstr>
      <vt:lpstr>matrix_Ks_elem_glob!p_6_2</vt:lpstr>
      <vt:lpstr>matrix_Ks_elem_glob!p_6_3</vt:lpstr>
      <vt:lpstr>matrix_Ks_elem_glob!p_6_4</vt:lpstr>
      <vt:lpstr>matrix_Ks_elem_glob!p_6_5</vt:lpstr>
      <vt:lpstr>matrix_Ks_elem_glob!p_6_6</vt:lpstr>
      <vt:lpstr>p1_</vt:lpstr>
      <vt:lpstr>p2_</vt:lpstr>
      <vt:lpstr>p3_</vt:lpstr>
      <vt:lpstr>qy</vt:lpstr>
      <vt:lpstr>si</vt:lpstr>
      <vt:lpstr>silan</vt:lpstr>
      <vt:lpstr>sinus</vt:lpstr>
      <vt:lpstr>sinush</vt:lpstr>
      <vt:lpstr>upsilon</vt:lpstr>
      <vt:lpstr>wi</vt:lpstr>
      <vt:lpstr>wj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Finite element method FEM</dc:title>
  <dc:subject/>
  <dc:creator>Czesław Wiech, Kielce University of Technology, Poland</dc:creator>
  <cp:lastModifiedBy>Czesław Wiech</cp:lastModifiedBy>
  <dcterms:created xsi:type="dcterms:W3CDTF">2026-01-20T07:05:06Z</dcterms:created>
  <dcterms:modified xsi:type="dcterms:W3CDTF">2026-10-28T08:41:19Z</dcterms:modified>
</cp:coreProperties>
</file>